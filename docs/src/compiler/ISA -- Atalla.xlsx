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Bit-Spec" sheetId="2" r:id="rId6"/>
    <sheet state="visible" name="Psuedo Instructions" sheetId="3" r:id="rId7"/>
    <sheet state="visible" name="Instr Latency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tc={36397bc4-6cbe-4e2e-87b5-1b306f228e09}</author>
    <author>tc={f65e93c6-ba8c-47d8-8d13-f6cc0cc0af95}</author>
  </authors>
  <commentList>
    <comment authorId="0" xr:uid="{36397bc4-6cbe-4e2e-87b5-1b306f228e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Scheduler Core check out
</t>
      </text>
    </comment>
    <comment authorId="1" xr:uid="{f65e93c6-ba8c-47d8-8d13-f6cc0cc0af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to I-type -- 
since we need 1 rd, 1 rs, and 12 bits of imm.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tc={f7fc7277-93ab-422d-ac56-e254faf52ca2}</author>
  </authors>
  <commentList>
    <comment authorId="0" xr:uid="{f7fc7277-93ab-422d-ac56-e254faf52ca2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make your cycle time a function of MUL, as multiplier is subject to change from 3, 2, and 1 cycle as of right now
</t>
      </text>
    </comment>
  </commentList>
</comments>
</file>

<file path=xl/sharedStrings.xml><?xml version="1.0" encoding="utf-8"?>
<sst xmlns="http://schemas.openxmlformats.org/spreadsheetml/2006/main" count="600" uniqueCount="364">
  <si>
    <t>Column 1</t>
  </si>
  <si>
    <t>opcode[6:0]</t>
  </si>
  <si>
    <t>operation</t>
  </si>
  <si>
    <t>Type</t>
  </si>
  <si>
    <t>Pseudocode</t>
  </si>
  <si>
    <t>Column 1 2</t>
  </si>
  <si>
    <t>comments</t>
  </si>
  <si>
    <t>Signed-off by</t>
  </si>
  <si>
    <t>add.s</t>
  </si>
  <si>
    <t>Add</t>
  </si>
  <si>
    <t>R</t>
  </si>
  <si>
    <t>rd = rs1 + rs2</t>
  </si>
  <si>
    <t>Sooraj Chetput</t>
  </si>
  <si>
    <t>sub.s</t>
  </si>
  <si>
    <t>Sub</t>
  </si>
  <si>
    <t>rd = rs1 - rs2</t>
  </si>
  <si>
    <t>mul.s</t>
  </si>
  <si>
    <t>Multiply</t>
  </si>
  <si>
    <t>rd = rs1 * rs2</t>
  </si>
  <si>
    <t>div.s</t>
  </si>
  <si>
    <t>Divide</t>
  </si>
  <si>
    <t>rd = rs1 / rs2</t>
  </si>
  <si>
    <t>mod.s</t>
  </si>
  <si>
    <t>Modular</t>
  </si>
  <si>
    <t>rd = rs1 % rs2</t>
  </si>
  <si>
    <t>or.s</t>
  </si>
  <si>
    <t>Or</t>
  </si>
  <si>
    <t>rd = rs1 | rs2</t>
  </si>
  <si>
    <t>and.s</t>
  </si>
  <si>
    <t>And</t>
  </si>
  <si>
    <t>rd = rs1 &amp; rs2</t>
  </si>
  <si>
    <t>xor.s</t>
  </si>
  <si>
    <t>Xor</t>
  </si>
  <si>
    <t>rd = rs1 ^ rs2</t>
  </si>
  <si>
    <t>sll.s</t>
  </si>
  <si>
    <t>Shift left logical</t>
  </si>
  <si>
    <t>rd = rs1 &lt;&lt; rs2</t>
  </si>
  <si>
    <t>srl.s</t>
  </si>
  <si>
    <t>Shift Right Logical</t>
  </si>
  <si>
    <t>rd = rs1 &gt;&gt; rs2</t>
  </si>
  <si>
    <t>sra.s</t>
  </si>
  <si>
    <t>Shift Right Arith</t>
  </si>
  <si>
    <t>slt.s</t>
  </si>
  <si>
    <t>Set Less Than</t>
  </si>
  <si>
    <t>rd = rs1 &lt; rs2</t>
  </si>
  <si>
    <t>sltu.s</t>
  </si>
  <si>
    <t>Set Less Than (U)</t>
  </si>
  <si>
    <t>rd = u(rs1) &lt; u(rs2)</t>
  </si>
  <si>
    <t>add.bf</t>
  </si>
  <si>
    <t>Add BF16</t>
  </si>
  <si>
    <t>Rishikesh Bathina</t>
  </si>
  <si>
    <t>sub.bf</t>
  </si>
  <si>
    <t>Sub BF16</t>
  </si>
  <si>
    <t>mul.bf</t>
  </si>
  <si>
    <t>Multiply BF16</t>
  </si>
  <si>
    <t>div.bf</t>
  </si>
  <si>
    <t>Divide BF16</t>
  </si>
  <si>
    <t>slt.bf</t>
  </si>
  <si>
    <t>Set Less Than BF16</t>
  </si>
  <si>
    <t>sltu.bf</t>
  </si>
  <si>
    <t>Set Less Than (U) BF16</t>
  </si>
  <si>
    <t>stbf.s</t>
  </si>
  <si>
    <t>Converts Scalar to BF16</t>
  </si>
  <si>
    <t>rd = BF16(rs1)</t>
  </si>
  <si>
    <t>bfts.s</t>
  </si>
  <si>
    <t>Converts BF16 to Scalar</t>
  </si>
  <si>
    <t>rd = INT(rs1)</t>
  </si>
  <si>
    <t>addi.s</t>
  </si>
  <si>
    <t>I</t>
  </si>
  <si>
    <t>rd = rs1 + imm</t>
  </si>
  <si>
    <t>subi.s</t>
  </si>
  <si>
    <t>rd = rs1 - imm</t>
  </si>
  <si>
    <t>muli.s</t>
  </si>
  <si>
    <t>rd = rs1 * imm</t>
  </si>
  <si>
    <t>divi.s</t>
  </si>
  <si>
    <t>rd = rs1 / imm</t>
  </si>
  <si>
    <t>modi.s</t>
  </si>
  <si>
    <t>rd = rs1 % imm</t>
  </si>
  <si>
    <t>ori.s</t>
  </si>
  <si>
    <t>rd = rs1 | imm</t>
  </si>
  <si>
    <t>andi.s</t>
  </si>
  <si>
    <t>rd = rs1 &amp; imm</t>
  </si>
  <si>
    <t>xori.s</t>
  </si>
  <si>
    <t>rd = rs1 ^ imm</t>
  </si>
  <si>
    <t>slli.s</t>
  </si>
  <si>
    <t>rd = rs1 &lt;&lt; (imm &amp; 0x1F)</t>
  </si>
  <si>
    <t>srli.s</t>
  </si>
  <si>
    <t>rd = rs1 &gt;&gt; (imm &amp; 0x1F)</t>
  </si>
  <si>
    <t>srai.s</t>
  </si>
  <si>
    <t>slti.s</t>
  </si>
  <si>
    <t>rd = rs1 &lt; imm</t>
  </si>
  <si>
    <t>sltui.s</t>
  </si>
  <si>
    <t>rd = u(rs1) &lt; u(imm)</t>
  </si>
  <si>
    <t>beq.s</t>
  </si>
  <si>
    <t>Branch Equal</t>
  </si>
  <si>
    <t>BR</t>
  </si>
  <si>
    <t>rs1 = rs1 + incr7; if (rs1 == rs2) PC = PC + imm</t>
  </si>
  <si>
    <t>bne.s</t>
  </si>
  <si>
    <t>Branch Not Equal</t>
  </si>
  <si>
    <t>rs1 = rs1 + incr7; if (rs1 != rs2) PC = PC + imm</t>
  </si>
  <si>
    <t>blt.s</t>
  </si>
  <si>
    <t>Branch Less Than</t>
  </si>
  <si>
    <t>rs1 = rs1 + incr7; if (rs1 &lt; rs2) PC = PC + imm</t>
  </si>
  <si>
    <t>bge.s</t>
  </si>
  <si>
    <t>Branch Greater Than or Equal</t>
  </si>
  <si>
    <t>rs1 = rs1 + incr7; if (rs1 &gt;= rs2) PC = PC + imm</t>
  </si>
  <si>
    <t>bgt.s</t>
  </si>
  <si>
    <t xml:space="preserve">Branch Greater Than </t>
  </si>
  <si>
    <t>rs1 = rs1 + incr7; if (rs1 &gt; rs2) PC = PC + imm</t>
  </si>
  <si>
    <t>ble.s</t>
  </si>
  <si>
    <t>Branch Less Than or Equal</t>
  </si>
  <si>
    <t>rs1 = rs1 + incr7; if (rs1 &lt;= rs2) PC = PC + imm</t>
  </si>
  <si>
    <t>lw.s</t>
  </si>
  <si>
    <t>load word</t>
  </si>
  <si>
    <t>M</t>
  </si>
  <si>
    <t>rd = MEM[rs1 + sign(imm[11:0])]</t>
  </si>
  <si>
    <t>sw.s</t>
  </si>
  <si>
    <t>store word</t>
  </si>
  <si>
    <t>MEM[rs1 + sign(imm[11:0])] = rd</t>
  </si>
  <si>
    <t>jal</t>
  </si>
  <si>
    <t>jump and link</t>
  </si>
  <si>
    <t>MI</t>
  </si>
  <si>
    <t>rd = PC+4; PC += imm</t>
  </si>
  <si>
    <t>jalr</t>
  </si>
  <si>
    <t>jump and link register</t>
  </si>
  <si>
    <t>rd = PC+4; PC = rs1 + imm</t>
  </si>
  <si>
    <t>li.s</t>
  </si>
  <si>
    <t>load immediate</t>
  </si>
  <si>
    <t>rd[24:0] = imm[24:0]</t>
  </si>
  <si>
    <t>Pseudo instructions</t>
  </si>
  <si>
    <t>lui.s</t>
  </si>
  <si>
    <t>load upper immediate</t>
  </si>
  <si>
    <t>rd[31:25] =imm[6:0]</t>
  </si>
  <si>
    <t>nop.s</t>
  </si>
  <si>
    <t>no operation</t>
  </si>
  <si>
    <t>S</t>
  </si>
  <si>
    <t>Do nothing</t>
  </si>
  <si>
    <t>halt.s</t>
  </si>
  <si>
    <t>halt program</t>
  </si>
  <si>
    <t>stop increment PC</t>
  </si>
  <si>
    <t>barrier.s</t>
  </si>
  <si>
    <t>force all prior packets to complete</t>
  </si>
  <si>
    <t>add.vv</t>
  </si>
  <si>
    <t>element-wise add</t>
  </si>
  <si>
    <t>VV</t>
  </si>
  <si>
    <t>for (i=0; i&lt;VL; i++)                            
      if (mask[i]) 
           vd[i] = vs1[i] + vs2[i]; 
PC = PC + 4</t>
  </si>
  <si>
    <t>sub.vv</t>
  </si>
  <si>
    <t>element-wise sub</t>
  </si>
  <si>
    <t>for (i=0; i&lt;VL; i++)                            
      if (mask[i]) 
           vd[i] = vs1[i] - vs2[i]; 
PC = PC + 4</t>
  </si>
  <si>
    <t>mul.vv</t>
  </si>
  <si>
    <t>element-wise multiply</t>
  </si>
  <si>
    <t>for (i=0; i&lt;VL; i++)                            
      if (mask[i]) 
           vd[i] = vs1[i] * vs2[i]; 
PC = PC + 4</t>
  </si>
  <si>
    <t>div.vv</t>
  </si>
  <si>
    <t>element-wise divide</t>
  </si>
  <si>
    <t>for (i=0; i&lt;VL; i++)                            
      if (mask[i]) 
           vd[i] = vs1[i] / vs2[i]; 
PC = PC + 4</t>
  </si>
  <si>
    <t>and.vv</t>
  </si>
  <si>
    <t>element-wise -- bitwise and</t>
  </si>
  <si>
    <t>for (i=0; i&lt;VL; i++)                            
      if (mask[i]) 
           vd[i] = vs1[i] &amp; vs2[i]; 
PC = PC + 4</t>
  </si>
  <si>
    <t>or.vv</t>
  </si>
  <si>
    <t>element-wise -- bitwise or</t>
  </si>
  <si>
    <t>for (i=0; i&lt;VL; i++)                            
      if (mask[i]) 
           vd[i] = vs1[i] | vs2[i]; 
PC = PC + 4</t>
  </si>
  <si>
    <t>xor.vv</t>
  </si>
  <si>
    <t>element-wise -- bitwise xor</t>
  </si>
  <si>
    <t>for (i=0; i&lt;VL; i++)                            
      if (mask[i]) 
           vd[i] = vs1[i] ^ vs2[i]; 
PC = PC + 4</t>
  </si>
  <si>
    <t>gemm.vv</t>
  </si>
  <si>
    <t>send input and psum to sys array</t>
  </si>
  <si>
    <t>vd = vs1 * weights + vs2;
PC = PC + 4</t>
  </si>
  <si>
    <t>mgt.vv</t>
  </si>
  <si>
    <t>mask greater than</t>
  </si>
  <si>
    <t>for (i=0; i&lt;VL; i++)                            
      if (mask[i]) 
           vmd[i] = vs1[i] &gt; vs2[i]; 
PC = PC + 4</t>
  </si>
  <si>
    <t>mlt.vv</t>
  </si>
  <si>
    <t xml:space="preserve">mask less than </t>
  </si>
  <si>
    <t>for (i=0; i&lt;VL; i++)                            
      if (mask[i]) 
           vmd[i] = vs1[i] &lt; vs2[i]; 
PC = PC + 4</t>
  </si>
  <si>
    <t>meq.vv</t>
  </si>
  <si>
    <t xml:space="preserve">mask equals to </t>
  </si>
  <si>
    <t>for (i=0; i&lt;VL; i++)                            
      if (mask[i]) 
           vmd[i] = vs1[i] == vs2[i]; 
PC = PC + 4</t>
  </si>
  <si>
    <t>mneq.vv</t>
  </si>
  <si>
    <t>mask not equals to</t>
  </si>
  <si>
    <t>for (i=0; i&lt;VL; i++)                            
      if (mask[i]) 
           vmd[i] = vs1[i] != vs2[i]; 
PC = PC + 4</t>
  </si>
  <si>
    <t>addi.vi</t>
  </si>
  <si>
    <t>element-wise add immediate</t>
  </si>
  <si>
    <t>VI</t>
  </si>
  <si>
    <t>for (i=0; i&lt;VL; i++)
if (mask[i]) 
     vd[i] = vs1[i] + imm; 
PC = PC + 4</t>
  </si>
  <si>
    <t>Vedant, Sooraj</t>
  </si>
  <si>
    <t>subi.vi</t>
  </si>
  <si>
    <t>element-wise subtract immediate</t>
  </si>
  <si>
    <t>for (i=0; i&lt;VL; i++) 
if (mask[i]) 
    vd[i] = vs1[i] - imm;
PC = PC + 4</t>
  </si>
  <si>
    <t>muli.vi</t>
  </si>
  <si>
    <t>element-wise multiply immediate</t>
  </si>
  <si>
    <t>for (i=0; i&lt;VL; i++)
if (mask[i]) 
    vd[i] = vs1[i] * imm; 
PC = PC + 4</t>
  </si>
  <si>
    <t>divi.vi</t>
  </si>
  <si>
    <t>element-wise divide immediate</t>
  </si>
  <si>
    <t>for (i=0; i&lt;VL; i++) 
if (mask[i]) 
   vd[i] = vs1[i] / imm; 
PC = PC + 4</t>
  </si>
  <si>
    <t>expi.vi</t>
  </si>
  <si>
    <t>element-wise exponentiation</t>
  </si>
  <si>
    <t>for (i=0; i&lt;VL; i++)
if (mask[i])
vd[i] = exp(vs1[i]);
PC = PC + 4</t>
  </si>
  <si>
    <t>Fan Jing Hoon</t>
  </si>
  <si>
    <t>sqrti.vi</t>
  </si>
  <si>
    <t>element-wise square root</t>
  </si>
  <si>
    <t>for (i=0; i&lt;VL; i++) 
    if (mask[i]) 
        vd[i] = sqrt(vs1[i]); 
PC = PC + 4</t>
  </si>
  <si>
    <t>Walter, Jacob</t>
  </si>
  <si>
    <t>not.vi</t>
  </si>
  <si>
    <t>element-wise bitwise not</t>
  </si>
  <si>
    <t>for (i=0; i&lt;VL; i++) 
    if (mask[i]) 
        vd[i] = ~(vs1[i]); 
PC = PC + 4</t>
  </si>
  <si>
    <t>shift.vi</t>
  </si>
  <si>
    <t>vector lane shift imm left or right</t>
  </si>
  <si>
    <t>imm_shift = imm5; 
dir = imm8[23]; // bit 0 of imm8 (0 = left, 1 = right)
if (dir == 0)
    // Left shift
    for (i = 0; i &lt; VL - imm_shift; i++)
        vd[i + imm_shift] = vs1[i];
else 
    // Right shift
    for (i = imm_shift; i &lt; VL; i++)
        vd[i - imm_shift] = vs1[i];
PC = PC + 4;</t>
  </si>
  <si>
    <t>Saandiya, Jing</t>
  </si>
  <si>
    <t>lw.vi</t>
  </si>
  <si>
    <t>load weight to sys array imm</t>
  </si>
  <si>
    <t>weights = vs1;
PC = PC + 4;</t>
  </si>
  <si>
    <t>rsum.vi</t>
  </si>
  <si>
    <t>vector reduction sum</t>
  </si>
  <si>
    <t>for (i = 0; i &lt; VL; i++)
    if (imm[6])
        vd[i] = SUM(vs)
    else if (imm[5])
        if (i == imm[0:4])
            vd[i] = SUM(vs)
        else
            vd[i] = 0
    else
        if (i == imm[0:4])
            vd[i] = SUM(vs)
        else
            vd[i] = vs[i]
PC = PC + 4</t>
  </si>
  <si>
    <t>rmin.vi</t>
  </si>
  <si>
    <t>vector reduction min</t>
  </si>
  <si>
    <t>for (i = 0; i &lt; VL; i++)
    if (imm[6])
        vd[i] = MIN(vs)
    else if (imm[5])
        if (i == imm[0:4])
            vd[i] = MIN(vs)
        else
            vd[i] = 0
    else
        if (i == imm[0:4])
            vd[i] = MIN(vs)
        else
            vd[i] = vs[i]
PC = PC + 4</t>
  </si>
  <si>
    <t>rmax.vi</t>
  </si>
  <si>
    <t>vector reduction max</t>
  </si>
  <si>
    <t>for (i = 0; i &lt; VL; i++)
    if (imm[6])
        vd[i] = MAX(vs)
    else if (imm[5])
        if (i == imm[0:4])
            vd[i] = MAX(vs)
        else
            vd[i] = 0
    else
        if (i == imm[0:4])
            vd[i] = MAX(vs)
        else
            vd[i] = vs[i]
PC = PC + 4</t>
  </si>
  <si>
    <t>shift.vs</t>
  </si>
  <si>
    <t>0111000</t>
  </si>
  <si>
    <t>vector lane shift scalar reg left or right</t>
  </si>
  <si>
    <t>VS</t>
  </si>
  <si>
    <t>dir_bit = rs1[28];         // Bit[28] selects direction: 0=RIGHT, 1=LEFT
shift_amt = rs1[27:23];   // Bits[27:23] give shift amt (0–31)
if (dir_bit == 1) 
    // LEFT shift
    for (i = 0; i &lt; VL - shift_amt; i++)
        vd[i + shift_amt] = vs1[i];
else 
    // RIGHT shift
    for (i = shift_amt; i &lt; VL; i++)
        vd[i - shift_amt] = vs1[i];
PC = PC + 4;</t>
  </si>
  <si>
    <t>Fan Jing Hoon, Saandiya</t>
  </si>
  <si>
    <t>mv.mts</t>
  </si>
  <si>
    <t>Moves a mask to the scalar reg file</t>
  </si>
  <si>
    <t>MTS</t>
  </si>
  <si>
    <t>rd = vms</t>
  </si>
  <si>
    <t>mv.stm</t>
  </si>
  <si>
    <t>moves a scalar to the mask reg file</t>
  </si>
  <si>
    <t>STM</t>
  </si>
  <si>
    <t>vmd= rs1</t>
  </si>
  <si>
    <t xml:space="preserve">vreg.ld </t>
  </si>
  <si>
    <t>Vector Load</t>
  </si>
  <si>
    <t>VM</t>
  </si>
  <si>
    <t>for (i=0; i&lt;VL; i++)
     if (mask[i])
     vd1[i] = SCPAD[(rs1 ,numtilerow,numtilecol,roworcolid,row/column,datatype), i];
PC = PC + 4</t>
  </si>
  <si>
    <t>Sooraj, Vedant</t>
  </si>
  <si>
    <r>
      <rPr>
        <rFont val="Garamond"/>
        <color rgb="FF000000"/>
        <sz val="12.0"/>
      </rPr>
      <t>vreg.st</t>
    </r>
    <r>
      <rPr>
        <rFont val="Garamond"/>
        <color theme="1"/>
        <sz val="12.0"/>
      </rPr>
      <t xml:space="preserve"> </t>
    </r>
  </si>
  <si>
    <t>Vector Store</t>
  </si>
  <si>
    <t>for (i=0; i&lt;VL; i++)
     if (mask[i])
     SCPAD[(rs1, numtilerow,numtilecol,roworcolid,row/column,datatype), i] = vd1[i], 
PC = PC + 4</t>
  </si>
  <si>
    <t>vmov.vi</t>
  </si>
  <si>
    <t>Move Vector Element Immediate</t>
  </si>
  <si>
    <t>rd = vs1[imm]; PC = PC + 4</t>
  </si>
  <si>
    <t>Joseph Ghanem</t>
  </si>
  <si>
    <t>add.vs</t>
  </si>
  <si>
    <t>Add Scalar</t>
  </si>
  <si>
    <t>for (i=0; i&lt;VL; i++)
     if (mask[i])
     vd[i] = vs1[i] + rs1;
PC = PC + 4</t>
  </si>
  <si>
    <t>rs1 is fp16/bf16 in scalar reg. INT32-&gt;FP/BF16 conversion is done in scalar core, guaranteed by compiler</t>
  </si>
  <si>
    <t>sub.vs</t>
  </si>
  <si>
    <t>Sub Scalar</t>
  </si>
  <si>
    <t>for (i=0; i&lt;VL; i++) if (mask[i]) vd[i] = vs1[i] - rs1; PC = PC + 4</t>
  </si>
  <si>
    <t>see above</t>
  </si>
  <si>
    <t>mul.vs</t>
  </si>
  <si>
    <t>Mult Scalar</t>
  </si>
  <si>
    <t>for (i=0; i&lt;VL; i++) if (mask[i]) vd[i] = vs1[i] * rs1; PC = PC + 4</t>
  </si>
  <si>
    <t>div.vs</t>
  </si>
  <si>
    <t>Divide Scalar</t>
  </si>
  <si>
    <t>for (i=0; i&lt;VL; i++) if (mask[i]) vd[i] = vs1[i] / rs1; PC = PC + 4</t>
  </si>
  <si>
    <t>mgt.vs</t>
  </si>
  <si>
    <t>Mask Greater Than Scalar</t>
  </si>
  <si>
    <t>for (i=0; i&lt;VL; i++)
     vm[i] = (vs1[i] &gt; rs1) ? 1 : 0;
PC = PC + 4</t>
  </si>
  <si>
    <t>mlt.vs</t>
  </si>
  <si>
    <t>Mask Less Than Scalar</t>
  </si>
  <si>
    <t>for (i=0; i&lt;VL; i++) vmd[i] = (vs1[i] &lt; rs1) ? 1 : 0; PC = PC + 4</t>
  </si>
  <si>
    <t>meq.vs</t>
  </si>
  <si>
    <t>Mask Equals Scalar</t>
  </si>
  <si>
    <t>for (i=0; i&lt;VL; i++) vmd[i] = (vs1[i] == rs1) ? 1 : 0; PC = PC + 4</t>
  </si>
  <si>
    <t>mneq.vs</t>
  </si>
  <si>
    <t>Mask Not Equals Scalar</t>
  </si>
  <si>
    <t>for (i=0; i&lt;VL; i++) vmd[i] = (vs1[i] != rs1) ? 1 : 0; PC = PC + 4</t>
  </si>
  <si>
    <t>scpad.ld</t>
  </si>
  <si>
    <t xml:space="preserve">Scratchpad Load </t>
  </si>
  <si>
    <t>SDMA</t>
  </si>
  <si>
    <t xml:space="preserve">for (i = 0; i &lt; NR; i++) 
    for (j = 0; j &lt; NC; j++) 
        SCPAD[(scpad_ptr* i) + j] = GMEM[swizzle((gmem_ptr* i) + )] </t>
  </si>
  <si>
    <t>Akshath Raghav R</t>
  </si>
  <si>
    <t>scpad.st</t>
  </si>
  <si>
    <t>Scratchpad Store</t>
  </si>
  <si>
    <t xml:space="preserve">for (i = 0; i &lt; NR; i++) 
    for (j = 0; j &lt; NC; j++) 
        GMEM[(gmem_ptr* i) + j] = SCPAD[swizzle((scpad_ptr * i) + )] </t>
  </si>
  <si>
    <t xml:space="preserve"> </t>
  </si>
  <si>
    <t>||||||||||||||||||||||||</t>
  </si>
  <si>
    <t>rs2</t>
  </si>
  <si>
    <t>rs1</t>
  </si>
  <si>
    <t>rd</t>
  </si>
  <si>
    <t>opcode - 7 bits</t>
  </si>
  <si>
    <t>imm9</t>
  </si>
  <si>
    <t>imm1</t>
  </si>
  <si>
    <t>incr-imm7</t>
  </si>
  <si>
    <t>the accum fields are so that we can do a loop increment and compare in 1 cycle. also imm1 + imm9 = imm10</t>
  </si>
  <si>
    <t>|||||||||||||</t>
  </si>
  <si>
    <t>imm12</t>
  </si>
  <si>
    <t>jalr will use this formatting.</t>
  </si>
  <si>
    <t>imm25</t>
  </si>
  <si>
    <t>load immediates (only 25 bits not a full 32, sign extend), jal instruction (shift by 2 for jal).</t>
  </si>
  <si>
    <t>|||||||||||||||||||||||||||||||||||||||||||||||||||||||||||||||||||||||||||||||||||||||||||||</t>
  </si>
  <si>
    <t>halt, fence, nop</t>
  </si>
  <si>
    <t>||||||||||</t>
  </si>
  <si>
    <t>sac</t>
  </si>
  <si>
    <t>mask</t>
  </si>
  <si>
    <t>vs2</t>
  </si>
  <si>
    <t>vs1</t>
  </si>
  <si>
    <t>vd</t>
  </si>
  <si>
    <t>Vector Vector  sac = sys array control -&gt; weights vs inputs bit.</t>
  </si>
  <si>
    <t>Vector Scalar</t>
  </si>
  <si>
    <t>imm5</t>
  </si>
  <si>
    <t>imm8</t>
  </si>
  <si>
    <t>Vector Immediate, imm8+imm5 = imm13</t>
  </si>
  <si>
    <t>rc_id</t>
  </si>
  <si>
    <t>rc</t>
  </si>
  <si>
    <t>sid</t>
  </si>
  <si>
    <t>num_rows</t>
  </si>
  <si>
    <t>num_cols</t>
  </si>
  <si>
    <t>rc_id = which row/column, mask = loading, sid = which scpad, num_rows = given number rows, 
num_cols = given cols, rc = row or column, vd = vector destination, rs1 = base_row of scpad,</t>
  </si>
  <si>
    <t>||||||||||||||||</t>
  </si>
  <si>
    <t>rs1 and rd1</t>
  </si>
  <si>
    <t>sid = scratchpad_id; rs2 = register with gmem_base_addr; rs1 = rd1 = register with scpad_base_addr</t>
  </si>
  <si>
    <t>|||||||||||||||||||||||||||||||||||||||||||||||</t>
  </si>
  <si>
    <t>vms</t>
  </si>
  <si>
    <t>vms = Vector Mask Select</t>
  </si>
  <si>
    <t>vmd</t>
  </si>
  <si>
    <t>vmd = Vector Mask Destination</t>
  </si>
  <si>
    <t>Scalar</t>
  </si>
  <si>
    <t>Pseudo Instruction</t>
  </si>
  <si>
    <t>r^x</t>
  </si>
  <si>
    <t>smov</t>
  </si>
  <si>
    <t>Move scalar to vector</t>
  </si>
  <si>
    <r>
      <rPr>
        <rFont val="Garamond"/>
        <sz val="11.0"/>
      </rPr>
      <t xml:space="preserve">or (0,1) = 32'bx
mmov m0
</t>
    </r>
    <r>
      <rPr>
        <rFont val="Garamond"/>
        <color rgb="FF1155CC"/>
        <sz val="11.0"/>
        <u/>
      </rPr>
      <t>add.vi</t>
    </r>
  </si>
  <si>
    <t>UNDER INVESTIGATION</t>
  </si>
  <si>
    <t>smov.vi</t>
  </si>
  <si>
    <t>Move Scalar Immediate</t>
  </si>
  <si>
    <t>vd[imm]= rs1; PC = PC + 4</t>
  </si>
  <si>
    <t>pseudo instruction</t>
  </si>
  <si>
    <t>Vector Core</t>
  </si>
  <si>
    <t>*Subject to Change</t>
  </si>
  <si>
    <t>Multiplier is subject to change:</t>
  </si>
  <si>
    <t>Cycles</t>
  </si>
  <si>
    <t>Best</t>
  </si>
  <si>
    <t>Worst</t>
  </si>
  <si>
    <t>Veggie</t>
  </si>
  <si>
    <t>R: 0 W: 1</t>
  </si>
  <si>
    <t>R: 3 W: 4</t>
  </si>
  <si>
    <t>D/E Pipeline (1c)</t>
  </si>
  <si>
    <t>MASKU</t>
  </si>
  <si>
    <t xml:space="preserve">VLS </t>
  </si>
  <si>
    <t>GSAU</t>
  </si>
  <si>
    <t>Lane (0 cycle)</t>
  </si>
  <si>
    <t>Sequencer</t>
  </si>
  <si>
    <t>VS/VX Pipeline (1c)</t>
  </si>
  <si>
    <t>ADD/SUB</t>
  </si>
  <si>
    <t>ALU</t>
  </si>
  <si>
    <t>MUL</t>
  </si>
  <si>
    <t>DIV</t>
  </si>
  <si>
    <t>10+1 cycles ???</t>
  </si>
  <si>
    <t>EXP</t>
  </si>
  <si>
    <t>SQRT</t>
  </si>
  <si>
    <t>3*mult + adder + 1-2</t>
  </si>
  <si>
    <t>VX/VA Pipeline (1c)</t>
  </si>
  <si>
    <t>endlane</t>
  </si>
  <si>
    <t>RTREE</t>
  </si>
  <si>
    <t>WB FIFO</t>
  </si>
  <si>
    <t>#Elements</t>
  </si>
  <si>
    <t>E/WB Pipeline (1c)</t>
  </si>
  <si>
    <t>WB Buffer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</si>
</sst>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7">
    <font>
      <sz val="10.0"/>
      <color rgb="FF000000"/>
      <name val="Arial"/>
      <scheme val="minor"/>
    </font>
    <font>
      <b/>
      <sz val="11.0"/>
      <color theme="1"/>
      <name val="Garamond"/>
    </font>
    <font>
      <sz val="11.0"/>
      <color theme="1"/>
      <name val="Garamond"/>
    </font>
    <font>
      <color theme="1"/>
      <name val="Garamond"/>
    </font>
    <font>
      <u/>
      <sz val="11.0"/>
      <color rgb="FF0000FF"/>
      <name val="Garamond"/>
    </font>
    <font>
      <u/>
      <sz val="11.0"/>
      <color rgb="FF0000FF"/>
      <name val="Garamond"/>
    </font>
    <font>
      <strike/>
      <color theme="1"/>
      <name val="Garamond"/>
    </font>
    <font>
      <sz val="12.0"/>
      <color theme="1"/>
      <name val="Garamond"/>
    </font>
    <font>
      <u/>
      <color rgb="FF0000FF"/>
      <name val="Garamond"/>
    </font>
    <font>
      <u/>
      <color rgb="FF434343"/>
      <name val="Garamond"/>
    </font>
    <font>
      <u/>
      <sz val="12.0"/>
      <color rgb="FF0000FF"/>
      <name val="Garamond"/>
    </font>
    <font>
      <sz val="10.0"/>
      <color theme="1"/>
      <name val="Garamond"/>
    </font>
    <font>
      <color theme="1"/>
      <name val="Arial"/>
    </font>
    <font/>
    <font>
      <sz val="11.0"/>
      <color rgb="FF0000FF"/>
      <name val="Garamond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</fills>
  <borders count="9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49" xfId="0" applyAlignment="1" applyBorder="1" applyFont="1" applyNumberForma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1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vertical="bottom"/>
    </xf>
    <xf borderId="3" fillId="0" fontId="12" numFmtId="0" xfId="0" applyAlignment="1" applyBorder="1" applyFont="1">
      <alignment vertical="bottom"/>
    </xf>
    <xf borderId="3" fillId="0" fontId="7" numFmtId="0" xfId="0" applyAlignment="1" applyBorder="1" applyFont="1">
      <alignment horizontal="right" readingOrder="0" vertical="bottom"/>
    </xf>
    <xf borderId="3" fillId="0" fontId="7" numFmtId="0" xfId="0" applyAlignment="1" applyBorder="1" applyFont="1">
      <alignment horizontal="right" vertical="bottom"/>
    </xf>
    <xf borderId="0" fillId="0" fontId="7" numFmtId="0" xfId="0" applyAlignment="1" applyFont="1">
      <alignment readingOrder="0"/>
    </xf>
    <xf borderId="2" fillId="0" fontId="11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3" fillId="2" fontId="7" numFmtId="0" xfId="0" applyAlignment="1" applyBorder="1" applyFill="1" applyFont="1">
      <alignment vertical="bottom"/>
    </xf>
    <xf borderId="4" fillId="2" fontId="7" numFmtId="0" xfId="0" applyAlignment="1" applyBorder="1" applyFont="1">
      <alignment vertical="bottom"/>
    </xf>
    <xf borderId="5" fillId="0" fontId="13" numFmtId="0" xfId="0" applyBorder="1" applyFont="1"/>
    <xf borderId="6" fillId="0" fontId="13" numFmtId="0" xfId="0" applyBorder="1" applyFont="1"/>
    <xf borderId="4" fillId="3" fontId="7" numFmtId="0" xfId="0" applyAlignment="1" applyBorder="1" applyFill="1" applyFont="1">
      <alignment vertical="bottom"/>
    </xf>
    <xf borderId="0" fillId="0" fontId="7" numFmtId="0" xfId="0" applyFont="1"/>
    <xf borderId="3" fillId="3" fontId="7" numFmtId="0" xfId="0" applyAlignment="1" applyBorder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1" numFmtId="0" xfId="0" applyAlignment="1" applyFont="1">
      <alignment readingOrder="0" vertical="top"/>
    </xf>
    <xf borderId="3" fillId="0" fontId="7" numFmtId="0" xfId="0" applyAlignment="1" applyBorder="1" applyFont="1">
      <alignment vertical="top"/>
    </xf>
    <xf borderId="3" fillId="3" fontId="7" numFmtId="0" xfId="0" applyAlignment="1" applyBorder="1" applyFont="1">
      <alignment vertical="bottom"/>
    </xf>
    <xf borderId="5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0" fillId="0" fontId="3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3" fillId="0" fontId="15" numFmtId="0" xfId="0" applyAlignment="1" applyBorder="1" applyFont="1">
      <alignment readingOrder="0"/>
    </xf>
    <xf borderId="3" fillId="0" fontId="15" numFmtId="0" xfId="0" applyBorder="1" applyFont="1"/>
    <xf borderId="0" fillId="4" fontId="15" numFmtId="0" xfId="0" applyAlignment="1" applyFill="1" applyFont="1">
      <alignment readingOrder="0"/>
    </xf>
    <xf borderId="0" fillId="4" fontId="15" numFmtId="0" xfId="0" applyAlignment="1" applyFont="1">
      <alignment horizontal="right" readingOrder="0"/>
    </xf>
    <xf borderId="7" fillId="0" fontId="15" numFmtId="0" xfId="0" applyBorder="1" applyFont="1"/>
    <xf borderId="0" fillId="4" fontId="15" numFmtId="0" xfId="0" applyFont="1"/>
    <xf borderId="7" fillId="0" fontId="13" numFmtId="0" xfId="0" applyBorder="1" applyFont="1"/>
    <xf borderId="4" fillId="5" fontId="15" numFmtId="0" xfId="0" applyAlignment="1" applyBorder="1" applyFill="1" applyFont="1">
      <alignment horizontal="right" readingOrder="0"/>
    </xf>
    <xf borderId="4" fillId="6" fontId="16" numFmtId="0" xfId="0" applyAlignment="1" applyBorder="1" applyFill="1" applyFont="1">
      <alignment readingOrder="0"/>
    </xf>
    <xf borderId="3" fillId="0" fontId="15" numFmtId="164" xfId="0" applyAlignment="1" applyBorder="1" applyFont="1" applyNumberFormat="1">
      <alignment readingOrder="0"/>
    </xf>
    <xf borderId="0" fillId="0" fontId="15" numFmtId="0" xfId="0" applyAlignment="1" applyFont="1">
      <alignment readingOrder="0"/>
    </xf>
    <xf borderId="4" fillId="6" fontId="15" numFmtId="0" xfId="0" applyAlignment="1" applyBorder="1" applyFont="1">
      <alignment readingOrder="0"/>
    </xf>
    <xf borderId="3" fillId="0" fontId="15" numFmtId="0" xfId="0" applyAlignment="1" applyBorder="1" applyFont="1">
      <alignment horizontal="right" readingOrder="0"/>
    </xf>
    <xf borderId="8" fillId="0" fontId="1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uedo Instru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esh" id="{ce69e8f8-9ed1-4ac6-8a60-c25e4b7e5be8}" providerId="google-sheets"/>
  <x18tc:person displayName="Sooraj Chetput" id="{0ef11431-d339-4c26-83cd-fbda9914d542}" providerId="google-sheets"/>
  <x18tc:person displayName="Vedant Sharma" id="{b4a7588d-fba7-45c0-ad62-057b4897c362}" providerId="google-sheets"/>
</x18tc:personList>
</file>

<file path=xl/tables/table1.xml><?xml version="1.0" encoding="utf-8"?>
<table xmlns="http://schemas.openxmlformats.org/spreadsheetml/2006/main" ref="A1:H90" displayName="Table1" name="Table1" id="1">
  <tableColumns count="8">
    <tableColumn name="Column 1" id="1"/>
    <tableColumn name="opcode[6:0]" id="2"/>
    <tableColumn name="operation" id="3"/>
    <tableColumn name="Type" id="4"/>
    <tableColumn name="Pseudocode" id="5"/>
    <tableColumn name="Column 1 2" id="6"/>
    <tableColumn name="comments" id="7"/>
    <tableColumn name="Signed-off by" id="8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1:E4" displayName="Instructions" name="Instructions" id="2">
  <tableColumns count="5">
    <tableColumn name="Scalar" id="1"/>
    <tableColumn name="operation" id="2"/>
    <tableColumn name="Type" id="3"/>
    <tableColumn name="Pseudo Instruction" id="4"/>
    <tableColumn name="comments" id="5"/>
  </tableColumns>
  <tableStyleInfo name="Psuedo Instru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0-19T19:33:41.00" personId="{ce69e8f8-9ed1-4ac6-8a60-c25e4b7e5be8}" id="{36397bc4-6cbe-4e2e-87b5-1b306f228e09}" done="0">
    <x18tc:text xml:space="preserve">Scheduler Core check out</x18tc:text>
  </x18tc:threadedComment>
  <x18tc:threadedComment ref="A1" dT="2025-10-14T17:09:44.00" personId="{0ef11431-d339-4c26-83cd-fbda9914d542}" id="{f65e93c6-ba8c-47d8-8d13-f6cc0cc0af95}" done="0">
    <x18tc:text xml:space="preserve">changed to I-type -- 
since we need 1 rd, 1 rs, and 12 bits of imm.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5-10-22T20:52:04.00" personId="{b4a7588d-fba7-45c0-ad62-057b4897c362}" id="{f7fc7277-93ab-422d-ac56-e254faf52ca2}" done="0">
    <x18tc:text xml:space="preserve">Please make your cycle time a function of MUL, as multiplier is subject to change from 3, 2, and 1 cycle as of right now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rmin.vi/" TargetMode="External"/><Relationship Id="rId10" Type="http://schemas.openxmlformats.org/officeDocument/2006/relationships/hyperlink" Target="http://rsum.vi/" TargetMode="External"/><Relationship Id="rId13" Type="http://schemas.openxmlformats.org/officeDocument/2006/relationships/hyperlink" Target="http://scpad.st/" TargetMode="External"/><Relationship Id="rId12" Type="http://schemas.openxmlformats.org/officeDocument/2006/relationships/hyperlink" Target="http://rmax.vi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add.bf/" TargetMode="External"/><Relationship Id="rId9" Type="http://schemas.openxmlformats.org/officeDocument/2006/relationships/hyperlink" Target="http://sltu.bf/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17" Type="http://schemas.openxmlformats.org/officeDocument/2006/relationships/table" Target="../tables/table1.xml"/><Relationship Id="rId5" Type="http://schemas.openxmlformats.org/officeDocument/2006/relationships/hyperlink" Target="http://sub.bf/" TargetMode="External"/><Relationship Id="rId6" Type="http://schemas.openxmlformats.org/officeDocument/2006/relationships/hyperlink" Target="http://mul.bf/" TargetMode="External"/><Relationship Id="rId7" Type="http://schemas.openxmlformats.org/officeDocument/2006/relationships/hyperlink" Target="http://div.bf/" TargetMode="External"/><Relationship Id="rId8" Type="http://schemas.openxmlformats.org/officeDocument/2006/relationships/hyperlink" Target="http://slt.bf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dd.vi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29.25"/>
    <col customWidth="1" min="4" max="4" width="12.75"/>
    <col customWidth="1" min="5" max="5" width="73.75"/>
    <col customWidth="1" min="6" max="6" width="4.63"/>
    <col customWidth="1" min="7" max="7" width="12.25"/>
    <col customWidth="1" min="8" max="8" width="24.0"/>
    <col customWidth="1" min="9" max="9" width="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ht="22.5" customHeight="1">
      <c r="A2" s="6" t="s">
        <v>8</v>
      </c>
      <c r="B2" s="7" t="str">
        <f t="shared" ref="B2:B74" si="1">DEC2BIN(F2,7)</f>
        <v>0000001</v>
      </c>
      <c r="C2" s="6" t="s">
        <v>9</v>
      </c>
      <c r="D2" s="8" t="s">
        <v>10</v>
      </c>
      <c r="E2" s="6" t="s">
        <v>11</v>
      </c>
      <c r="F2" s="9">
        <v>1.0</v>
      </c>
      <c r="G2" s="10"/>
      <c r="H2" s="11" t="s">
        <v>12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ht="22.5" customHeight="1">
      <c r="A3" s="6" t="s">
        <v>13</v>
      </c>
      <c r="B3" s="7" t="str">
        <f t="shared" si="1"/>
        <v>0000010</v>
      </c>
      <c r="C3" s="6" t="s">
        <v>14</v>
      </c>
      <c r="D3" s="8" t="s">
        <v>10</v>
      </c>
      <c r="E3" s="6" t="s">
        <v>15</v>
      </c>
      <c r="F3" s="9">
        <v>2.0</v>
      </c>
      <c r="G3" s="12"/>
      <c r="H3" s="11" t="s">
        <v>12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ht="22.5" customHeight="1">
      <c r="A4" s="6" t="s">
        <v>16</v>
      </c>
      <c r="B4" s="7" t="str">
        <f t="shared" si="1"/>
        <v>0000011</v>
      </c>
      <c r="C4" s="6" t="s">
        <v>17</v>
      </c>
      <c r="D4" s="8" t="s">
        <v>10</v>
      </c>
      <c r="E4" s="6" t="s">
        <v>18</v>
      </c>
      <c r="F4" s="9">
        <v>3.0</v>
      </c>
      <c r="G4" s="10"/>
      <c r="H4" s="11" t="s">
        <v>12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5"/>
      <c r="AI4" s="5"/>
      <c r="AJ4" s="5"/>
      <c r="AK4" s="5"/>
      <c r="AL4" s="5"/>
      <c r="AM4" s="5"/>
      <c r="AN4" s="5"/>
      <c r="AO4" s="5"/>
    </row>
    <row r="5" ht="22.5" customHeight="1">
      <c r="A5" s="6" t="s">
        <v>19</v>
      </c>
      <c r="B5" s="7" t="str">
        <f t="shared" si="1"/>
        <v>0000100</v>
      </c>
      <c r="C5" s="6" t="s">
        <v>20</v>
      </c>
      <c r="D5" s="8" t="s">
        <v>10</v>
      </c>
      <c r="E5" s="6" t="s">
        <v>21</v>
      </c>
      <c r="F5" s="9">
        <v>4.0</v>
      </c>
      <c r="G5" s="10"/>
      <c r="H5" s="11" t="s">
        <v>12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ht="22.5" customHeight="1">
      <c r="A6" s="6" t="s">
        <v>22</v>
      </c>
      <c r="B6" s="7" t="str">
        <f t="shared" si="1"/>
        <v>0000101</v>
      </c>
      <c r="C6" s="6" t="s">
        <v>23</v>
      </c>
      <c r="D6" s="8" t="s">
        <v>10</v>
      </c>
      <c r="E6" s="6" t="s">
        <v>24</v>
      </c>
      <c r="F6" s="9">
        <v>5.0</v>
      </c>
      <c r="G6" s="10"/>
      <c r="H6" s="11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ht="22.5" customHeight="1">
      <c r="A7" s="6" t="s">
        <v>25</v>
      </c>
      <c r="B7" s="7" t="str">
        <f t="shared" si="1"/>
        <v>0000110</v>
      </c>
      <c r="C7" s="6" t="s">
        <v>26</v>
      </c>
      <c r="D7" s="8" t="s">
        <v>10</v>
      </c>
      <c r="E7" s="6" t="s">
        <v>27</v>
      </c>
      <c r="F7" s="9">
        <v>6.0</v>
      </c>
      <c r="G7" s="10"/>
      <c r="H7" s="11" t="s">
        <v>12</v>
      </c>
      <c r="I7" s="13"/>
      <c r="J7" s="1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ht="22.5" customHeight="1">
      <c r="A8" s="6" t="s">
        <v>28</v>
      </c>
      <c r="B8" s="7" t="str">
        <f t="shared" si="1"/>
        <v>0000111</v>
      </c>
      <c r="C8" s="6" t="s">
        <v>29</v>
      </c>
      <c r="D8" s="8" t="s">
        <v>10</v>
      </c>
      <c r="E8" s="6" t="s">
        <v>30</v>
      </c>
      <c r="F8" s="9">
        <v>7.0</v>
      </c>
      <c r="G8" s="10"/>
      <c r="H8" s="11" t="s">
        <v>12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ht="22.5" customHeight="1">
      <c r="A9" s="6" t="s">
        <v>31</v>
      </c>
      <c r="B9" s="7" t="str">
        <f t="shared" si="1"/>
        <v>0001000</v>
      </c>
      <c r="C9" s="6" t="s">
        <v>32</v>
      </c>
      <c r="D9" s="8" t="s">
        <v>10</v>
      </c>
      <c r="E9" s="6" t="s">
        <v>33</v>
      </c>
      <c r="F9" s="9">
        <v>8.0</v>
      </c>
      <c r="G9" s="10"/>
      <c r="H9" s="11" t="s">
        <v>12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ht="22.5" customHeight="1">
      <c r="A10" s="6" t="s">
        <v>34</v>
      </c>
      <c r="B10" s="7" t="str">
        <f t="shared" si="1"/>
        <v>0001001</v>
      </c>
      <c r="C10" s="6" t="s">
        <v>35</v>
      </c>
      <c r="D10" s="8" t="s">
        <v>10</v>
      </c>
      <c r="E10" s="6" t="s">
        <v>36</v>
      </c>
      <c r="F10" s="9">
        <v>9.0</v>
      </c>
      <c r="G10" s="10"/>
      <c r="H10" s="11" t="s">
        <v>12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ht="22.5" customHeight="1">
      <c r="A11" s="6" t="s">
        <v>37</v>
      </c>
      <c r="B11" s="7" t="str">
        <f t="shared" si="1"/>
        <v>0001010</v>
      </c>
      <c r="C11" s="6" t="s">
        <v>38</v>
      </c>
      <c r="D11" s="8" t="s">
        <v>10</v>
      </c>
      <c r="E11" s="6" t="s">
        <v>39</v>
      </c>
      <c r="F11" s="9">
        <v>10.0</v>
      </c>
      <c r="G11" s="10"/>
      <c r="H11" s="11" t="s">
        <v>12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ht="22.5" customHeight="1">
      <c r="A12" s="6" t="s">
        <v>40</v>
      </c>
      <c r="B12" s="7" t="str">
        <f t="shared" si="1"/>
        <v>0001011</v>
      </c>
      <c r="C12" s="6" t="s">
        <v>41</v>
      </c>
      <c r="D12" s="8" t="s">
        <v>10</v>
      </c>
      <c r="E12" s="6" t="s">
        <v>39</v>
      </c>
      <c r="F12" s="9">
        <v>11.0</v>
      </c>
      <c r="G12" s="10"/>
      <c r="H12" s="11" t="s">
        <v>12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ht="22.5" customHeight="1">
      <c r="A13" s="6" t="s">
        <v>42</v>
      </c>
      <c r="B13" s="7" t="str">
        <f t="shared" si="1"/>
        <v>0001100</v>
      </c>
      <c r="C13" s="6" t="s">
        <v>43</v>
      </c>
      <c r="D13" s="8" t="s">
        <v>10</v>
      </c>
      <c r="E13" s="6" t="s">
        <v>44</v>
      </c>
      <c r="F13" s="9">
        <v>12.0</v>
      </c>
      <c r="G13" s="10"/>
      <c r="H13" s="11" t="s">
        <v>12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ht="22.5" customHeight="1">
      <c r="A14" s="14" t="s">
        <v>45</v>
      </c>
      <c r="B14" s="15" t="str">
        <f t="shared" si="1"/>
        <v>0001101</v>
      </c>
      <c r="C14" s="14" t="s">
        <v>46</v>
      </c>
      <c r="D14" s="16" t="s">
        <v>10</v>
      </c>
      <c r="E14" s="14" t="s">
        <v>47</v>
      </c>
      <c r="F14" s="17">
        <v>13.0</v>
      </c>
      <c r="G14" s="10"/>
      <c r="H14" s="11" t="s">
        <v>12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ht="22.5" customHeight="1">
      <c r="A15" s="18" t="s">
        <v>48</v>
      </c>
      <c r="B15" s="7" t="str">
        <f t="shared" si="1"/>
        <v>0001110</v>
      </c>
      <c r="C15" s="6" t="s">
        <v>49</v>
      </c>
      <c r="D15" s="8" t="s">
        <v>10</v>
      </c>
      <c r="E15" s="6" t="s">
        <v>11</v>
      </c>
      <c r="F15" s="9">
        <v>14.0</v>
      </c>
      <c r="G15" s="10"/>
      <c r="H15" s="11" t="s">
        <v>50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ht="22.5" customHeight="1">
      <c r="A16" s="18" t="s">
        <v>51</v>
      </c>
      <c r="B16" s="7" t="str">
        <f t="shared" si="1"/>
        <v>0001111</v>
      </c>
      <c r="C16" s="6" t="s">
        <v>52</v>
      </c>
      <c r="D16" s="8" t="s">
        <v>10</v>
      </c>
      <c r="E16" s="6" t="s">
        <v>15</v>
      </c>
      <c r="F16" s="9">
        <v>15.0</v>
      </c>
      <c r="G16" s="10"/>
      <c r="H16" s="11" t="s">
        <v>50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ht="22.5" customHeight="1">
      <c r="A17" s="18" t="s">
        <v>53</v>
      </c>
      <c r="B17" s="7" t="str">
        <f t="shared" si="1"/>
        <v>0010000</v>
      </c>
      <c r="C17" s="6" t="s">
        <v>54</v>
      </c>
      <c r="D17" s="8" t="s">
        <v>10</v>
      </c>
      <c r="E17" s="6" t="s">
        <v>18</v>
      </c>
      <c r="F17" s="9">
        <v>16.0</v>
      </c>
      <c r="G17" s="10"/>
      <c r="H17" s="11" t="s">
        <v>50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ht="22.5" customHeight="1">
      <c r="A18" s="18" t="s">
        <v>55</v>
      </c>
      <c r="B18" s="7" t="str">
        <f t="shared" si="1"/>
        <v>0010001</v>
      </c>
      <c r="C18" s="6" t="s">
        <v>56</v>
      </c>
      <c r="D18" s="8" t="s">
        <v>10</v>
      </c>
      <c r="E18" s="6" t="s">
        <v>21</v>
      </c>
      <c r="F18" s="9">
        <v>17.0</v>
      </c>
      <c r="G18" s="10"/>
      <c r="H18" s="11" t="s">
        <v>50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ht="22.5" customHeight="1">
      <c r="A19" s="18" t="s">
        <v>57</v>
      </c>
      <c r="B19" s="7" t="str">
        <f t="shared" si="1"/>
        <v>0010010</v>
      </c>
      <c r="C19" s="6" t="s">
        <v>58</v>
      </c>
      <c r="D19" s="8" t="s">
        <v>10</v>
      </c>
      <c r="E19" s="6" t="s">
        <v>44</v>
      </c>
      <c r="F19" s="9">
        <v>18.0</v>
      </c>
      <c r="G19" s="10"/>
      <c r="H19" s="11" t="s">
        <v>50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ht="22.5" customHeight="1">
      <c r="A20" s="19" t="s">
        <v>59</v>
      </c>
      <c r="B20" s="15" t="str">
        <f t="shared" si="1"/>
        <v>0010011</v>
      </c>
      <c r="C20" s="14" t="s">
        <v>60</v>
      </c>
      <c r="D20" s="16" t="s">
        <v>10</v>
      </c>
      <c r="E20" s="14" t="s">
        <v>47</v>
      </c>
      <c r="F20" s="9">
        <v>19.0</v>
      </c>
      <c r="G20" s="10"/>
      <c r="H20" s="11" t="s">
        <v>50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ht="22.5" customHeight="1">
      <c r="A21" s="6" t="s">
        <v>61</v>
      </c>
      <c r="B21" s="7" t="str">
        <f t="shared" si="1"/>
        <v>0010100</v>
      </c>
      <c r="C21" s="6" t="s">
        <v>62</v>
      </c>
      <c r="D21" s="8" t="s">
        <v>10</v>
      </c>
      <c r="E21" s="6" t="s">
        <v>63</v>
      </c>
      <c r="F21" s="9">
        <v>20.0</v>
      </c>
      <c r="G21" s="10"/>
      <c r="H21" s="11" t="s">
        <v>50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ht="22.5" customHeight="1">
      <c r="A22" s="6" t="s">
        <v>64</v>
      </c>
      <c r="B22" s="7" t="str">
        <f t="shared" si="1"/>
        <v>0010101</v>
      </c>
      <c r="C22" s="6" t="s">
        <v>65</v>
      </c>
      <c r="D22" s="8" t="s">
        <v>10</v>
      </c>
      <c r="E22" s="6" t="s">
        <v>66</v>
      </c>
      <c r="F22" s="9">
        <v>21.0</v>
      </c>
      <c r="G22" s="10"/>
      <c r="H22" s="11" t="s">
        <v>50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ht="22.5" customHeight="1">
      <c r="A23" s="6" t="s">
        <v>67</v>
      </c>
      <c r="B23" s="7" t="str">
        <f t="shared" si="1"/>
        <v>0010110</v>
      </c>
      <c r="C23" s="6" t="s">
        <v>9</v>
      </c>
      <c r="D23" s="8" t="s">
        <v>68</v>
      </c>
      <c r="E23" s="6" t="s">
        <v>69</v>
      </c>
      <c r="F23" s="9">
        <v>22.0</v>
      </c>
      <c r="G23" s="10"/>
      <c r="H23" s="11" t="s">
        <v>12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ht="22.5" customHeight="1">
      <c r="A24" s="6" t="s">
        <v>70</v>
      </c>
      <c r="B24" s="7" t="str">
        <f t="shared" si="1"/>
        <v>0010111</v>
      </c>
      <c r="C24" s="6" t="s">
        <v>14</v>
      </c>
      <c r="D24" s="8" t="s">
        <v>68</v>
      </c>
      <c r="E24" s="6" t="s">
        <v>71</v>
      </c>
      <c r="F24" s="9">
        <v>23.0</v>
      </c>
      <c r="G24" s="10"/>
      <c r="H24" s="11" t="s">
        <v>12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ht="22.5" customHeight="1">
      <c r="A25" s="6" t="s">
        <v>72</v>
      </c>
      <c r="B25" s="7" t="str">
        <f t="shared" si="1"/>
        <v>0011000</v>
      </c>
      <c r="C25" s="6" t="s">
        <v>17</v>
      </c>
      <c r="D25" s="8" t="s">
        <v>68</v>
      </c>
      <c r="E25" s="6" t="s">
        <v>73</v>
      </c>
      <c r="F25" s="9">
        <v>24.0</v>
      </c>
      <c r="G25" s="10"/>
      <c r="H25" s="11" t="s">
        <v>12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ht="22.5" customHeight="1">
      <c r="A26" s="6" t="s">
        <v>74</v>
      </c>
      <c r="B26" s="7" t="str">
        <f t="shared" si="1"/>
        <v>0011001</v>
      </c>
      <c r="C26" s="6" t="s">
        <v>20</v>
      </c>
      <c r="D26" s="8" t="s">
        <v>68</v>
      </c>
      <c r="E26" s="6" t="s">
        <v>75</v>
      </c>
      <c r="F26" s="9">
        <v>25.0</v>
      </c>
      <c r="G26" s="10"/>
      <c r="H26" s="11" t="s">
        <v>12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ht="22.5" customHeight="1">
      <c r="A27" s="6" t="s">
        <v>76</v>
      </c>
      <c r="B27" s="7" t="str">
        <f t="shared" si="1"/>
        <v>0011010</v>
      </c>
      <c r="C27" s="6" t="s">
        <v>23</v>
      </c>
      <c r="D27" s="8" t="s">
        <v>68</v>
      </c>
      <c r="E27" s="6" t="s">
        <v>77</v>
      </c>
      <c r="F27" s="9">
        <v>26.0</v>
      </c>
      <c r="G27" s="10"/>
      <c r="H27" s="11" t="s">
        <v>12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ht="22.5" customHeight="1">
      <c r="A28" s="6" t="s">
        <v>78</v>
      </c>
      <c r="B28" s="7" t="str">
        <f t="shared" si="1"/>
        <v>0011011</v>
      </c>
      <c r="C28" s="6" t="s">
        <v>26</v>
      </c>
      <c r="D28" s="8" t="s">
        <v>68</v>
      </c>
      <c r="E28" s="6" t="s">
        <v>79</v>
      </c>
      <c r="F28" s="9">
        <v>27.0</v>
      </c>
      <c r="G28" s="10"/>
      <c r="H28" s="11" t="s">
        <v>12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ht="22.5" customHeight="1">
      <c r="A29" s="6" t="s">
        <v>80</v>
      </c>
      <c r="B29" s="7" t="str">
        <f t="shared" si="1"/>
        <v>0011100</v>
      </c>
      <c r="C29" s="6" t="s">
        <v>29</v>
      </c>
      <c r="D29" s="8" t="s">
        <v>68</v>
      </c>
      <c r="E29" s="6" t="s">
        <v>81</v>
      </c>
      <c r="F29" s="9">
        <v>28.0</v>
      </c>
      <c r="G29" s="10"/>
      <c r="H29" s="11" t="s">
        <v>12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ht="22.5" customHeight="1">
      <c r="A30" s="6" t="s">
        <v>82</v>
      </c>
      <c r="B30" s="7" t="str">
        <f t="shared" si="1"/>
        <v>0011101</v>
      </c>
      <c r="C30" s="6" t="s">
        <v>32</v>
      </c>
      <c r="D30" s="8" t="s">
        <v>68</v>
      </c>
      <c r="E30" s="6" t="s">
        <v>83</v>
      </c>
      <c r="F30" s="9">
        <v>29.0</v>
      </c>
      <c r="G30" s="10"/>
      <c r="H30" s="11" t="s">
        <v>12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ht="22.5" customHeight="1">
      <c r="A31" s="6" t="s">
        <v>84</v>
      </c>
      <c r="B31" s="7" t="str">
        <f t="shared" si="1"/>
        <v>0011110</v>
      </c>
      <c r="C31" s="6" t="s">
        <v>35</v>
      </c>
      <c r="D31" s="8" t="s">
        <v>68</v>
      </c>
      <c r="E31" s="6" t="s">
        <v>85</v>
      </c>
      <c r="F31" s="9">
        <v>30.0</v>
      </c>
      <c r="G31" s="10"/>
      <c r="H31" s="11" t="s">
        <v>12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ht="22.5" customHeight="1">
      <c r="A32" s="6" t="s">
        <v>86</v>
      </c>
      <c r="B32" s="7" t="str">
        <f t="shared" si="1"/>
        <v>0011111</v>
      </c>
      <c r="C32" s="6" t="s">
        <v>38</v>
      </c>
      <c r="D32" s="8" t="s">
        <v>68</v>
      </c>
      <c r="E32" s="6" t="s">
        <v>87</v>
      </c>
      <c r="F32" s="9">
        <v>31.0</v>
      </c>
      <c r="G32" s="10"/>
      <c r="H32" s="11" t="s">
        <v>12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ht="22.5" customHeight="1">
      <c r="A33" s="6" t="s">
        <v>88</v>
      </c>
      <c r="B33" s="7" t="str">
        <f t="shared" si="1"/>
        <v>0100000</v>
      </c>
      <c r="C33" s="6" t="s">
        <v>41</v>
      </c>
      <c r="D33" s="8" t="s">
        <v>68</v>
      </c>
      <c r="E33" s="6" t="s">
        <v>87</v>
      </c>
      <c r="F33" s="9">
        <v>32.0</v>
      </c>
      <c r="G33" s="10"/>
      <c r="H33" s="11" t="s">
        <v>12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ht="22.5" customHeight="1">
      <c r="A34" s="6" t="s">
        <v>89</v>
      </c>
      <c r="B34" s="7" t="str">
        <f t="shared" si="1"/>
        <v>0100001</v>
      </c>
      <c r="C34" s="6" t="s">
        <v>43</v>
      </c>
      <c r="D34" s="8" t="s">
        <v>68</v>
      </c>
      <c r="E34" s="6" t="s">
        <v>90</v>
      </c>
      <c r="F34" s="9">
        <v>33.0</v>
      </c>
      <c r="G34" s="10"/>
      <c r="H34" s="11" t="s">
        <v>12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ht="22.5" customHeight="1">
      <c r="A35" s="14" t="s">
        <v>91</v>
      </c>
      <c r="B35" s="15" t="str">
        <f t="shared" si="1"/>
        <v>0100010</v>
      </c>
      <c r="C35" s="14" t="s">
        <v>46</v>
      </c>
      <c r="D35" s="16" t="s">
        <v>68</v>
      </c>
      <c r="E35" s="14" t="s">
        <v>92</v>
      </c>
      <c r="F35" s="9">
        <v>34.0</v>
      </c>
      <c r="G35" s="10"/>
      <c r="H35" s="11" t="s">
        <v>12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ht="22.5" customHeight="1">
      <c r="A36" s="6" t="s">
        <v>93</v>
      </c>
      <c r="B36" s="7" t="str">
        <f t="shared" si="1"/>
        <v>0100011</v>
      </c>
      <c r="C36" s="6" t="s">
        <v>94</v>
      </c>
      <c r="D36" s="8" t="s">
        <v>95</v>
      </c>
      <c r="E36" s="6" t="s">
        <v>96</v>
      </c>
      <c r="F36" s="9">
        <v>35.0</v>
      </c>
      <c r="G36" s="12"/>
      <c r="H36" s="11" t="s">
        <v>12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ht="22.5" customHeight="1">
      <c r="A37" s="6" t="s">
        <v>97</v>
      </c>
      <c r="B37" s="7" t="str">
        <f t="shared" si="1"/>
        <v>0100100</v>
      </c>
      <c r="C37" s="6" t="s">
        <v>98</v>
      </c>
      <c r="D37" s="8" t="s">
        <v>95</v>
      </c>
      <c r="E37" s="6" t="s">
        <v>99</v>
      </c>
      <c r="F37" s="9">
        <v>36.0</v>
      </c>
      <c r="G37" s="12"/>
      <c r="H37" s="11" t="s">
        <v>12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ht="22.5" customHeight="1">
      <c r="A38" s="6" t="s">
        <v>100</v>
      </c>
      <c r="B38" s="7" t="str">
        <f t="shared" si="1"/>
        <v>0100101</v>
      </c>
      <c r="C38" s="6" t="s">
        <v>101</v>
      </c>
      <c r="D38" s="8" t="s">
        <v>95</v>
      </c>
      <c r="E38" s="6" t="s">
        <v>102</v>
      </c>
      <c r="F38" s="9">
        <v>37.0</v>
      </c>
      <c r="G38" s="12"/>
      <c r="H38" s="11" t="s">
        <v>12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ht="22.5" customHeight="1">
      <c r="A39" s="6" t="s">
        <v>103</v>
      </c>
      <c r="B39" s="7" t="str">
        <f t="shared" si="1"/>
        <v>0100110</v>
      </c>
      <c r="C39" s="6" t="s">
        <v>104</v>
      </c>
      <c r="D39" s="8" t="s">
        <v>95</v>
      </c>
      <c r="E39" s="6" t="s">
        <v>105</v>
      </c>
      <c r="F39" s="9">
        <v>38.0</v>
      </c>
      <c r="G39" s="12"/>
      <c r="H39" s="11" t="s">
        <v>12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ht="22.5" customHeight="1">
      <c r="A40" s="6" t="s">
        <v>106</v>
      </c>
      <c r="B40" s="7" t="str">
        <f t="shared" si="1"/>
        <v>0100111</v>
      </c>
      <c r="C40" s="6" t="s">
        <v>107</v>
      </c>
      <c r="D40" s="8" t="s">
        <v>95</v>
      </c>
      <c r="E40" s="6" t="s">
        <v>108</v>
      </c>
      <c r="F40" s="9">
        <v>39.0</v>
      </c>
      <c r="G40" s="12"/>
      <c r="H40" s="11" t="s">
        <v>12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ht="22.5" customHeight="1">
      <c r="A41" s="14" t="s">
        <v>109</v>
      </c>
      <c r="B41" s="15" t="str">
        <f t="shared" si="1"/>
        <v>0101000</v>
      </c>
      <c r="C41" s="14" t="s">
        <v>110</v>
      </c>
      <c r="D41" s="16" t="s">
        <v>95</v>
      </c>
      <c r="E41" s="14" t="s">
        <v>111</v>
      </c>
      <c r="F41" s="9">
        <v>40.0</v>
      </c>
      <c r="G41" s="12"/>
      <c r="H41" s="11" t="s">
        <v>12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ht="22.5" customHeight="1">
      <c r="A42" s="6" t="s">
        <v>112</v>
      </c>
      <c r="B42" s="7" t="str">
        <f t="shared" si="1"/>
        <v>0101001</v>
      </c>
      <c r="C42" s="6" t="s">
        <v>113</v>
      </c>
      <c r="D42" s="8" t="s">
        <v>114</v>
      </c>
      <c r="E42" s="6" t="s">
        <v>115</v>
      </c>
      <c r="F42" s="9">
        <v>41.0</v>
      </c>
      <c r="G42" s="12"/>
      <c r="H42" s="11" t="s">
        <v>12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ht="22.5" customHeight="1">
      <c r="A43" s="14" t="s">
        <v>116</v>
      </c>
      <c r="B43" s="15" t="str">
        <f t="shared" si="1"/>
        <v>0101010</v>
      </c>
      <c r="C43" s="14" t="s">
        <v>117</v>
      </c>
      <c r="D43" s="16" t="s">
        <v>114</v>
      </c>
      <c r="E43" s="14" t="s">
        <v>118</v>
      </c>
      <c r="F43" s="9">
        <v>42.0</v>
      </c>
      <c r="G43" s="12"/>
      <c r="H43" s="11" t="s">
        <v>12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ht="22.5" customHeight="1">
      <c r="A44" s="6" t="s">
        <v>119</v>
      </c>
      <c r="B44" s="7" t="str">
        <f t="shared" si="1"/>
        <v>0101011</v>
      </c>
      <c r="C44" s="6" t="s">
        <v>120</v>
      </c>
      <c r="D44" s="8" t="s">
        <v>121</v>
      </c>
      <c r="E44" s="6" t="s">
        <v>122</v>
      </c>
      <c r="F44" s="9">
        <v>43.0</v>
      </c>
      <c r="G44" s="12"/>
      <c r="H44" s="11" t="s">
        <v>12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ht="22.5" customHeight="1">
      <c r="A45" s="6" t="s">
        <v>123</v>
      </c>
      <c r="B45" s="7" t="str">
        <f t="shared" si="1"/>
        <v>0101100</v>
      </c>
      <c r="C45" s="6" t="s">
        <v>124</v>
      </c>
      <c r="D45" s="8" t="s">
        <v>68</v>
      </c>
      <c r="E45" s="6" t="s">
        <v>125</v>
      </c>
      <c r="F45" s="9">
        <v>44.0</v>
      </c>
      <c r="G45" s="12"/>
      <c r="H45" s="11" t="s">
        <v>12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ht="22.5" customHeight="1">
      <c r="A46" s="6" t="s">
        <v>126</v>
      </c>
      <c r="B46" s="7" t="str">
        <f t="shared" si="1"/>
        <v>0101101</v>
      </c>
      <c r="C46" s="6" t="s">
        <v>127</v>
      </c>
      <c r="D46" s="8" t="s">
        <v>121</v>
      </c>
      <c r="E46" s="6" t="s">
        <v>128</v>
      </c>
      <c r="F46" s="9">
        <v>45.0</v>
      </c>
      <c r="G46" s="10" t="s">
        <v>129</v>
      </c>
      <c r="H46" s="11" t="s">
        <v>12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ht="22.5" customHeight="1">
      <c r="A47" s="14" t="s">
        <v>130</v>
      </c>
      <c r="B47" s="15" t="str">
        <f t="shared" si="1"/>
        <v>0101110</v>
      </c>
      <c r="C47" s="14" t="s">
        <v>131</v>
      </c>
      <c r="D47" s="16" t="s">
        <v>121</v>
      </c>
      <c r="E47" s="14" t="s">
        <v>132</v>
      </c>
      <c r="F47" s="9">
        <v>46.0</v>
      </c>
      <c r="G47" s="12"/>
      <c r="H47" s="11" t="s">
        <v>12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ht="22.5" customHeight="1">
      <c r="A48" s="6" t="s">
        <v>133</v>
      </c>
      <c r="B48" s="7" t="str">
        <f t="shared" si="1"/>
        <v>0101111</v>
      </c>
      <c r="C48" s="6" t="s">
        <v>134</v>
      </c>
      <c r="D48" s="8" t="s">
        <v>135</v>
      </c>
      <c r="E48" s="6" t="s">
        <v>136</v>
      </c>
      <c r="F48" s="9">
        <v>47.0</v>
      </c>
      <c r="G48" s="12"/>
      <c r="H48" s="11" t="s">
        <v>12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ht="22.5" customHeight="1">
      <c r="A49" s="6" t="s">
        <v>137</v>
      </c>
      <c r="B49" s="7" t="str">
        <f t="shared" si="1"/>
        <v>0110000</v>
      </c>
      <c r="C49" s="6" t="s">
        <v>138</v>
      </c>
      <c r="D49" s="8" t="s">
        <v>135</v>
      </c>
      <c r="E49" s="6" t="s">
        <v>139</v>
      </c>
      <c r="F49" s="9">
        <v>48.0</v>
      </c>
      <c r="G49" s="12"/>
      <c r="H49" s="11" t="s">
        <v>12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ht="22.5" customHeight="1">
      <c r="A50" s="14" t="s">
        <v>140</v>
      </c>
      <c r="B50" s="15" t="str">
        <f t="shared" si="1"/>
        <v>0110001</v>
      </c>
      <c r="C50" s="14" t="s">
        <v>141</v>
      </c>
      <c r="D50" s="16" t="s">
        <v>135</v>
      </c>
      <c r="E50" s="20"/>
      <c r="F50" s="9">
        <v>49.0</v>
      </c>
      <c r="G50" s="12"/>
      <c r="H50" s="11" t="s">
        <v>12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ht="22.5" customHeight="1">
      <c r="A51" s="6" t="s">
        <v>142</v>
      </c>
      <c r="B51" s="7" t="str">
        <f t="shared" si="1"/>
        <v>0110010</v>
      </c>
      <c r="C51" s="6" t="s">
        <v>143</v>
      </c>
      <c r="D51" s="8" t="s">
        <v>144</v>
      </c>
      <c r="E51" s="21" t="s">
        <v>145</v>
      </c>
      <c r="F51" s="9">
        <v>50.0</v>
      </c>
      <c r="G51" s="12"/>
      <c r="H51" s="11" t="s">
        <v>12</v>
      </c>
      <c r="I51" s="5"/>
      <c r="J51" s="22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ht="22.5" customHeight="1">
      <c r="A52" s="6" t="s">
        <v>146</v>
      </c>
      <c r="B52" s="7" t="str">
        <f t="shared" si="1"/>
        <v>0110011</v>
      </c>
      <c r="C52" s="6" t="s">
        <v>147</v>
      </c>
      <c r="D52" s="8" t="s">
        <v>144</v>
      </c>
      <c r="E52" s="21" t="s">
        <v>148</v>
      </c>
      <c r="F52" s="9">
        <v>51.0</v>
      </c>
      <c r="G52" s="12"/>
      <c r="H52" s="11" t="s">
        <v>12</v>
      </c>
      <c r="I52" s="5"/>
      <c r="J52" s="2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ht="22.5" customHeight="1">
      <c r="A53" s="6" t="s">
        <v>149</v>
      </c>
      <c r="B53" s="7" t="str">
        <f t="shared" si="1"/>
        <v>0110100</v>
      </c>
      <c r="C53" s="6" t="s">
        <v>150</v>
      </c>
      <c r="D53" s="8" t="s">
        <v>144</v>
      </c>
      <c r="E53" s="21" t="s">
        <v>151</v>
      </c>
      <c r="F53" s="17">
        <v>52.0</v>
      </c>
      <c r="G53" s="12"/>
      <c r="H53" s="11" t="s">
        <v>12</v>
      </c>
      <c r="I53" s="5"/>
      <c r="J53" s="22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ht="22.5" customHeight="1">
      <c r="A54" s="6" t="s">
        <v>152</v>
      </c>
      <c r="B54" s="7" t="str">
        <f t="shared" si="1"/>
        <v>0110101</v>
      </c>
      <c r="C54" s="6" t="s">
        <v>153</v>
      </c>
      <c r="D54" s="8" t="s">
        <v>144</v>
      </c>
      <c r="E54" s="21" t="s">
        <v>154</v>
      </c>
      <c r="F54" s="9">
        <v>53.0</v>
      </c>
      <c r="G54" s="12"/>
      <c r="H54" s="11" t="s">
        <v>12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ht="22.5" customHeight="1">
      <c r="A55" s="6" t="s">
        <v>155</v>
      </c>
      <c r="B55" s="7" t="str">
        <f t="shared" si="1"/>
        <v>0110110</v>
      </c>
      <c r="C55" s="6" t="s">
        <v>156</v>
      </c>
      <c r="D55" s="8" t="s">
        <v>144</v>
      </c>
      <c r="E55" s="21" t="s">
        <v>157</v>
      </c>
      <c r="F55" s="9">
        <v>54.0</v>
      </c>
      <c r="G55" s="12"/>
      <c r="H55" s="11" t="s">
        <v>12</v>
      </c>
      <c r="I55" s="5"/>
      <c r="J55" s="22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ht="22.5" customHeight="1">
      <c r="A56" s="6" t="s">
        <v>158</v>
      </c>
      <c r="B56" s="7" t="str">
        <f t="shared" si="1"/>
        <v>0110111</v>
      </c>
      <c r="C56" s="6" t="s">
        <v>159</v>
      </c>
      <c r="D56" s="8" t="s">
        <v>144</v>
      </c>
      <c r="E56" s="21" t="s">
        <v>160</v>
      </c>
      <c r="F56" s="9">
        <v>55.0</v>
      </c>
      <c r="G56" s="12"/>
      <c r="H56" s="11" t="s">
        <v>12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ht="22.5" customHeight="1">
      <c r="A57" s="6" t="s">
        <v>161</v>
      </c>
      <c r="B57" s="7" t="str">
        <f t="shared" si="1"/>
        <v>0111000</v>
      </c>
      <c r="C57" s="6" t="s">
        <v>162</v>
      </c>
      <c r="D57" s="8" t="s">
        <v>144</v>
      </c>
      <c r="E57" s="21" t="s">
        <v>163</v>
      </c>
      <c r="F57" s="9">
        <v>56.0</v>
      </c>
      <c r="G57" s="12"/>
      <c r="H57" s="11" t="s">
        <v>12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ht="22.5" customHeight="1">
      <c r="A58" s="6" t="s">
        <v>164</v>
      </c>
      <c r="B58" s="7" t="str">
        <f t="shared" si="1"/>
        <v>0111001</v>
      </c>
      <c r="C58" s="6" t="s">
        <v>165</v>
      </c>
      <c r="D58" s="8" t="s">
        <v>144</v>
      </c>
      <c r="E58" s="6" t="s">
        <v>166</v>
      </c>
      <c r="F58" s="9">
        <v>57.0</v>
      </c>
      <c r="G58" s="10"/>
      <c r="H58" s="11" t="s">
        <v>12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ht="22.5" customHeight="1">
      <c r="A59" s="6" t="s">
        <v>167</v>
      </c>
      <c r="B59" s="7" t="str">
        <f t="shared" si="1"/>
        <v>0111010</v>
      </c>
      <c r="C59" s="6" t="s">
        <v>168</v>
      </c>
      <c r="D59" s="8" t="s">
        <v>144</v>
      </c>
      <c r="E59" s="21" t="s">
        <v>169</v>
      </c>
      <c r="F59" s="9">
        <v>58.0</v>
      </c>
      <c r="G59" s="10"/>
      <c r="H59" s="11" t="s">
        <v>12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ht="22.5" customHeight="1">
      <c r="A60" s="6" t="s">
        <v>170</v>
      </c>
      <c r="B60" s="7" t="str">
        <f t="shared" si="1"/>
        <v>0111011</v>
      </c>
      <c r="C60" s="6" t="s">
        <v>171</v>
      </c>
      <c r="D60" s="8" t="s">
        <v>144</v>
      </c>
      <c r="E60" s="21" t="s">
        <v>172</v>
      </c>
      <c r="F60" s="9">
        <v>59.0</v>
      </c>
      <c r="G60" s="10"/>
      <c r="H60" s="11" t="s">
        <v>12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ht="192.0" customHeight="1">
      <c r="A61" s="6" t="s">
        <v>173</v>
      </c>
      <c r="B61" s="7" t="str">
        <f t="shared" si="1"/>
        <v>0111100</v>
      </c>
      <c r="C61" s="6" t="s">
        <v>174</v>
      </c>
      <c r="D61" s="8" t="s">
        <v>144</v>
      </c>
      <c r="E61" s="21" t="s">
        <v>175</v>
      </c>
      <c r="F61" s="9">
        <v>60.0</v>
      </c>
      <c r="G61" s="10"/>
      <c r="H61" s="11" t="s">
        <v>12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ht="22.5" customHeight="1">
      <c r="A62" s="14" t="s">
        <v>176</v>
      </c>
      <c r="B62" s="15" t="str">
        <f t="shared" si="1"/>
        <v>0111101</v>
      </c>
      <c r="C62" s="14" t="s">
        <v>177</v>
      </c>
      <c r="D62" s="16" t="s">
        <v>144</v>
      </c>
      <c r="E62" s="23" t="s">
        <v>178</v>
      </c>
      <c r="F62" s="9">
        <v>61.0</v>
      </c>
      <c r="G62" s="10"/>
      <c r="H62" s="11" t="s">
        <v>12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ht="22.5" customHeight="1">
      <c r="A63" s="10" t="s">
        <v>179</v>
      </c>
      <c r="B63" s="24" t="str">
        <f t="shared" si="1"/>
        <v>0111110</v>
      </c>
      <c r="C63" s="10" t="s">
        <v>180</v>
      </c>
      <c r="D63" s="25" t="s">
        <v>181</v>
      </c>
      <c r="E63" s="26" t="s">
        <v>182</v>
      </c>
      <c r="F63" s="9">
        <v>62.0</v>
      </c>
      <c r="G63" s="27"/>
      <c r="H63" s="11" t="s">
        <v>183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ht="22.5" customHeight="1">
      <c r="A64" s="10" t="s">
        <v>184</v>
      </c>
      <c r="B64" s="24" t="str">
        <f t="shared" si="1"/>
        <v>0111111</v>
      </c>
      <c r="C64" s="10" t="s">
        <v>185</v>
      </c>
      <c r="D64" s="25" t="s">
        <v>181</v>
      </c>
      <c r="E64" s="26" t="s">
        <v>186</v>
      </c>
      <c r="F64" s="9">
        <v>63.0</v>
      </c>
      <c r="G64" s="27"/>
      <c r="H64" s="11" t="s">
        <v>183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ht="22.5" customHeight="1">
      <c r="A65" s="10" t="s">
        <v>187</v>
      </c>
      <c r="B65" s="24" t="str">
        <f t="shared" si="1"/>
        <v>1000000</v>
      </c>
      <c r="C65" s="10" t="s">
        <v>188</v>
      </c>
      <c r="D65" s="25" t="s">
        <v>181</v>
      </c>
      <c r="E65" s="26" t="s">
        <v>189</v>
      </c>
      <c r="F65" s="9">
        <v>64.0</v>
      </c>
      <c r="G65" s="27"/>
      <c r="H65" s="11" t="s">
        <v>183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ht="22.5" customHeight="1">
      <c r="A66" s="10" t="s">
        <v>190</v>
      </c>
      <c r="B66" s="24" t="str">
        <f t="shared" si="1"/>
        <v>1000001</v>
      </c>
      <c r="C66" s="10" t="s">
        <v>191</v>
      </c>
      <c r="D66" s="25" t="s">
        <v>181</v>
      </c>
      <c r="E66" s="26" t="s">
        <v>192</v>
      </c>
      <c r="F66" s="9">
        <v>65.0</v>
      </c>
      <c r="G66" s="27"/>
      <c r="H66" s="11" t="s">
        <v>183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ht="22.5" customHeight="1">
      <c r="A67" s="10" t="s">
        <v>193</v>
      </c>
      <c r="B67" s="24" t="str">
        <f t="shared" si="1"/>
        <v>1000010</v>
      </c>
      <c r="C67" s="10" t="s">
        <v>194</v>
      </c>
      <c r="D67" s="25" t="s">
        <v>181</v>
      </c>
      <c r="E67" s="26" t="s">
        <v>195</v>
      </c>
      <c r="F67" s="9">
        <v>66.0</v>
      </c>
      <c r="G67" s="27"/>
      <c r="H67" s="11" t="s">
        <v>196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ht="22.5" customHeight="1">
      <c r="A68" s="11" t="s">
        <v>197</v>
      </c>
      <c r="B68" s="28" t="str">
        <f t="shared" si="1"/>
        <v>1000011</v>
      </c>
      <c r="C68" s="11" t="s">
        <v>198</v>
      </c>
      <c r="D68" s="29" t="s">
        <v>181</v>
      </c>
      <c r="E68" s="11" t="s">
        <v>199</v>
      </c>
      <c r="F68" s="9">
        <v>67.0</v>
      </c>
      <c r="G68" s="30"/>
      <c r="H68" s="11" t="s">
        <v>200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ht="22.5" customHeight="1">
      <c r="A69" s="11" t="s">
        <v>201</v>
      </c>
      <c r="B69" s="28" t="str">
        <f t="shared" si="1"/>
        <v>1000100</v>
      </c>
      <c r="C69" s="11" t="s">
        <v>202</v>
      </c>
      <c r="D69" s="29" t="s">
        <v>181</v>
      </c>
      <c r="E69" s="11" t="s">
        <v>203</v>
      </c>
      <c r="F69" s="9">
        <v>68.0</v>
      </c>
      <c r="G69" s="30"/>
      <c r="H69" s="11" t="s">
        <v>183</v>
      </c>
    </row>
    <row r="70" ht="22.5" customHeight="1">
      <c r="A70" s="31" t="s">
        <v>204</v>
      </c>
      <c r="B70" s="28" t="str">
        <f t="shared" si="1"/>
        <v>1000101</v>
      </c>
      <c r="C70" s="11" t="s">
        <v>205</v>
      </c>
      <c r="D70" s="29" t="s">
        <v>181</v>
      </c>
      <c r="E70" s="10" t="s">
        <v>206</v>
      </c>
      <c r="F70" s="9">
        <v>69.0</v>
      </c>
      <c r="G70" s="30"/>
      <c r="H70" s="11" t="s">
        <v>207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ht="22.5" customHeight="1">
      <c r="A71" s="31" t="s">
        <v>208</v>
      </c>
      <c r="B71" s="28" t="str">
        <f t="shared" si="1"/>
        <v>1000110</v>
      </c>
      <c r="C71" s="11" t="s">
        <v>209</v>
      </c>
      <c r="D71" s="29" t="s">
        <v>181</v>
      </c>
      <c r="E71" s="10" t="s">
        <v>210</v>
      </c>
      <c r="F71" s="9">
        <v>70.0</v>
      </c>
      <c r="G71" s="30"/>
      <c r="H71" s="11" t="s">
        <v>207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ht="22.5" customHeight="1">
      <c r="A72" s="32" t="s">
        <v>211</v>
      </c>
      <c r="B72" s="28" t="str">
        <f t="shared" si="1"/>
        <v>1000111</v>
      </c>
      <c r="C72" s="11" t="s">
        <v>212</v>
      </c>
      <c r="D72" s="29" t="s">
        <v>181</v>
      </c>
      <c r="E72" s="10" t="s">
        <v>213</v>
      </c>
      <c r="F72" s="9">
        <v>71.0</v>
      </c>
      <c r="G72" s="30"/>
      <c r="H72" s="11" t="s">
        <v>200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ht="22.5" customHeight="1">
      <c r="A73" s="32" t="s">
        <v>214</v>
      </c>
      <c r="B73" s="28" t="str">
        <f t="shared" si="1"/>
        <v>1001000</v>
      </c>
      <c r="C73" s="11" t="s">
        <v>215</v>
      </c>
      <c r="D73" s="29" t="s">
        <v>181</v>
      </c>
      <c r="E73" s="10" t="s">
        <v>216</v>
      </c>
      <c r="F73" s="9">
        <v>72.0</v>
      </c>
      <c r="G73" s="30"/>
      <c r="H73" s="11" t="s">
        <v>200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ht="22.5" customHeight="1">
      <c r="A74" s="33" t="s">
        <v>217</v>
      </c>
      <c r="B74" s="28" t="str">
        <f t="shared" si="1"/>
        <v>1001001</v>
      </c>
      <c r="C74" s="11" t="s">
        <v>218</v>
      </c>
      <c r="D74" s="29" t="s">
        <v>181</v>
      </c>
      <c r="E74" s="10" t="s">
        <v>219</v>
      </c>
      <c r="F74" s="9">
        <v>73.0</v>
      </c>
      <c r="G74" s="30"/>
      <c r="H74" s="11" t="s">
        <v>200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ht="22.5" customHeight="1">
      <c r="A75" s="34" t="s">
        <v>220</v>
      </c>
      <c r="B75" s="35" t="s">
        <v>221</v>
      </c>
      <c r="C75" s="34" t="s">
        <v>222</v>
      </c>
      <c r="D75" s="36" t="s">
        <v>223</v>
      </c>
      <c r="E75" s="37" t="s">
        <v>224</v>
      </c>
      <c r="F75" s="9">
        <v>74.0</v>
      </c>
      <c r="G75" s="30"/>
      <c r="H75" s="11" t="s">
        <v>225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ht="22.5" customHeight="1">
      <c r="A76" s="11" t="s">
        <v>226</v>
      </c>
      <c r="B76" s="38" t="str">
        <f t="shared" ref="B76:B90" si="2">DEC2BIN(F76,7)</f>
        <v>1001011</v>
      </c>
      <c r="C76" s="39" t="s">
        <v>227</v>
      </c>
      <c r="D76" s="40" t="s">
        <v>228</v>
      </c>
      <c r="E76" s="39" t="s">
        <v>229</v>
      </c>
      <c r="F76" s="9">
        <v>75.0</v>
      </c>
      <c r="G76" s="41"/>
      <c r="H76" s="39" t="s">
        <v>196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ht="22.5" customHeight="1">
      <c r="A77" s="11" t="s">
        <v>230</v>
      </c>
      <c r="B77" s="38" t="str">
        <f t="shared" si="2"/>
        <v>1001100</v>
      </c>
      <c r="C77" s="11" t="s">
        <v>231</v>
      </c>
      <c r="D77" s="29" t="s">
        <v>232</v>
      </c>
      <c r="E77" s="11" t="s">
        <v>233</v>
      </c>
      <c r="F77" s="9">
        <v>76.0</v>
      </c>
      <c r="G77" s="30"/>
      <c r="H77" s="39" t="s">
        <v>196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ht="22.5" customHeight="1">
      <c r="A78" s="42" t="s">
        <v>234</v>
      </c>
      <c r="B78" s="38" t="str">
        <f t="shared" si="2"/>
        <v>1001101</v>
      </c>
      <c r="C78" s="43" t="s">
        <v>235</v>
      </c>
      <c r="D78" s="29" t="s">
        <v>236</v>
      </c>
      <c r="E78" s="44" t="s">
        <v>237</v>
      </c>
      <c r="F78" s="9">
        <v>77.0</v>
      </c>
      <c r="G78" s="30"/>
      <c r="H78" s="11" t="s">
        <v>238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ht="22.5" customHeight="1">
      <c r="A79" s="42" t="s">
        <v>239</v>
      </c>
      <c r="B79" s="38" t="str">
        <f t="shared" si="2"/>
        <v>1001110</v>
      </c>
      <c r="C79" s="43" t="s">
        <v>240</v>
      </c>
      <c r="D79" s="29" t="s">
        <v>236</v>
      </c>
      <c r="E79" s="44" t="s">
        <v>241</v>
      </c>
      <c r="F79" s="9">
        <v>78.0</v>
      </c>
      <c r="G79" s="30"/>
      <c r="H79" s="11" t="s">
        <v>238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ht="22.5" customHeight="1">
      <c r="A80" s="45" t="s">
        <v>242</v>
      </c>
      <c r="B80" s="38" t="str">
        <f t="shared" si="2"/>
        <v>1001111</v>
      </c>
      <c r="C80" s="42" t="s">
        <v>243</v>
      </c>
      <c r="D80" s="29" t="s">
        <v>181</v>
      </c>
      <c r="E80" s="42" t="s">
        <v>244</v>
      </c>
      <c r="F80" s="9">
        <v>79.0</v>
      </c>
      <c r="G80" s="30"/>
      <c r="H80" s="11" t="s">
        <v>245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ht="22.5" customHeight="1">
      <c r="A81" s="45" t="s">
        <v>246</v>
      </c>
      <c r="B81" s="46" t="str">
        <f t="shared" si="2"/>
        <v>1010000</v>
      </c>
      <c r="C81" s="42" t="s">
        <v>247</v>
      </c>
      <c r="D81" s="29" t="s">
        <v>223</v>
      </c>
      <c r="E81" s="44" t="s">
        <v>248</v>
      </c>
      <c r="F81" s="9">
        <v>80.0</v>
      </c>
      <c r="G81" s="47" t="s">
        <v>249</v>
      </c>
      <c r="H81" s="11" t="s">
        <v>196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ht="22.5" customHeight="1">
      <c r="A82" s="45" t="s">
        <v>250</v>
      </c>
      <c r="B82" s="46" t="str">
        <f t="shared" si="2"/>
        <v>1010001</v>
      </c>
      <c r="C82" s="42" t="s">
        <v>251</v>
      </c>
      <c r="D82" s="29" t="s">
        <v>223</v>
      </c>
      <c r="E82" s="48" t="s">
        <v>252</v>
      </c>
      <c r="F82" s="9">
        <v>81.0</v>
      </c>
      <c r="G82" s="47" t="s">
        <v>253</v>
      </c>
      <c r="H82" s="11" t="s">
        <v>196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ht="22.5" customHeight="1">
      <c r="A83" s="45" t="s">
        <v>254</v>
      </c>
      <c r="B83" s="46" t="str">
        <f t="shared" si="2"/>
        <v>1010010</v>
      </c>
      <c r="C83" s="42" t="s">
        <v>255</v>
      </c>
      <c r="D83" s="29" t="s">
        <v>223</v>
      </c>
      <c r="E83" s="48" t="s">
        <v>256</v>
      </c>
      <c r="F83" s="9">
        <v>82.0</v>
      </c>
      <c r="G83" s="47" t="s">
        <v>253</v>
      </c>
      <c r="H83" s="11" t="s">
        <v>196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ht="22.5" customHeight="1">
      <c r="A84" s="45" t="s">
        <v>257</v>
      </c>
      <c r="B84" s="46" t="str">
        <f t="shared" si="2"/>
        <v>1010011</v>
      </c>
      <c r="C84" s="42" t="s">
        <v>258</v>
      </c>
      <c r="D84" s="29" t="s">
        <v>223</v>
      </c>
      <c r="E84" s="48" t="s">
        <v>259</v>
      </c>
      <c r="F84" s="9">
        <v>83.0</v>
      </c>
      <c r="G84" s="11" t="s">
        <v>253</v>
      </c>
      <c r="H84" s="11" t="s">
        <v>196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ht="22.5" customHeight="1">
      <c r="A85" s="42" t="s">
        <v>260</v>
      </c>
      <c r="B85" s="46" t="str">
        <f t="shared" si="2"/>
        <v>1010100</v>
      </c>
      <c r="C85" s="42" t="s">
        <v>261</v>
      </c>
      <c r="D85" s="29" t="s">
        <v>223</v>
      </c>
      <c r="E85" s="44" t="s">
        <v>262</v>
      </c>
      <c r="F85" s="9">
        <v>84.0</v>
      </c>
      <c r="G85" s="30"/>
      <c r="H85" s="11" t="s">
        <v>245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ht="22.5" customHeight="1">
      <c r="A86" s="42" t="s">
        <v>263</v>
      </c>
      <c r="B86" s="46" t="str">
        <f t="shared" si="2"/>
        <v>1010101</v>
      </c>
      <c r="C86" s="42" t="s">
        <v>264</v>
      </c>
      <c r="D86" s="29" t="s">
        <v>223</v>
      </c>
      <c r="E86" s="44" t="s">
        <v>265</v>
      </c>
      <c r="F86" s="9">
        <v>85.0</v>
      </c>
      <c r="G86" s="30"/>
      <c r="H86" s="11" t="s">
        <v>245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ht="22.5" customHeight="1">
      <c r="A87" s="42" t="s">
        <v>266</v>
      </c>
      <c r="B87" s="46" t="str">
        <f t="shared" si="2"/>
        <v>1010110</v>
      </c>
      <c r="C87" s="42" t="s">
        <v>267</v>
      </c>
      <c r="D87" s="29" t="s">
        <v>223</v>
      </c>
      <c r="E87" s="44" t="s">
        <v>268</v>
      </c>
      <c r="F87" s="9">
        <v>86.0</v>
      </c>
      <c r="G87" s="30"/>
      <c r="H87" s="11" t="s">
        <v>245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ht="22.5" customHeight="1">
      <c r="A88" s="44" t="s">
        <v>269</v>
      </c>
      <c r="B88" s="46" t="str">
        <f t="shared" si="2"/>
        <v>1010111</v>
      </c>
      <c r="C88" s="42" t="s">
        <v>270</v>
      </c>
      <c r="D88" s="29" t="s">
        <v>223</v>
      </c>
      <c r="E88" s="44" t="s">
        <v>271</v>
      </c>
      <c r="F88" s="17">
        <v>87.0</v>
      </c>
      <c r="G88" s="30"/>
      <c r="H88" s="11" t="s">
        <v>245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ht="22.5" customHeight="1">
      <c r="A89" s="42" t="s">
        <v>272</v>
      </c>
      <c r="B89" s="46" t="str">
        <f t="shared" si="2"/>
        <v>1011000</v>
      </c>
      <c r="C89" s="42" t="s">
        <v>273</v>
      </c>
      <c r="D89" s="49" t="s">
        <v>274</v>
      </c>
      <c r="E89" s="44" t="s">
        <v>275</v>
      </c>
      <c r="F89" s="50">
        <v>88.0</v>
      </c>
      <c r="G89" s="42"/>
      <c r="H89" s="42" t="s">
        <v>276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ht="22.5" customHeight="1">
      <c r="A90" s="51" t="s">
        <v>277</v>
      </c>
      <c r="B90" s="46" t="str">
        <f t="shared" si="2"/>
        <v>1011001</v>
      </c>
      <c r="C90" s="42" t="s">
        <v>278</v>
      </c>
      <c r="D90" s="49" t="s">
        <v>274</v>
      </c>
      <c r="E90" s="44" t="s">
        <v>279</v>
      </c>
      <c r="F90" s="50">
        <v>89.0</v>
      </c>
      <c r="G90" s="42"/>
      <c r="H90" s="42" t="s">
        <v>276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</row>
  </sheetData>
  <dataValidations>
    <dataValidation type="custom" allowBlank="1" showDropDown="1" sqref="F2:F90">
      <formula1>AND(ISNUMBER(F2),(NOT(OR(NOT(ISERROR(DATEVALUE(F2))), AND(ISNUMBER(F2), LEFT(CELL("format", F2))="D")))))</formula1>
    </dataValidation>
    <dataValidation allowBlank="1" showDropDown="1" sqref="B2:B90"/>
    <dataValidation type="list" allowBlank="1" sqref="D2:D90">
      <formula1>#REF!</formula1>
    </dataValidation>
  </dataValidations>
  <hyperlinks>
    <hyperlink r:id="rId4" ref="A15"/>
    <hyperlink r:id="rId5" ref="A16"/>
    <hyperlink r:id="rId6" ref="A17"/>
    <hyperlink r:id="rId7" ref="A18"/>
    <hyperlink r:id="rId8" ref="A19"/>
    <hyperlink r:id="rId9" ref="A20"/>
    <hyperlink r:id="rId10" ref="A72"/>
    <hyperlink r:id="rId11" ref="A73"/>
    <hyperlink r:id="rId12" ref="A74"/>
    <hyperlink r:id="rId13" ref="A9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"/>
  <legacyDrawing r:id="rId15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7.88"/>
    <col customWidth="1" min="3" max="14" width="2.13"/>
    <col customWidth="1" min="15" max="15" width="3.63"/>
    <col customWidth="1" min="16" max="16" width="2.88"/>
    <col customWidth="1" min="17" max="17" width="3.25"/>
    <col customWidth="1" min="18" max="18" width="1.88"/>
    <col customWidth="1" min="19" max="21" width="2.13"/>
    <col customWidth="1" min="22" max="22" width="2.63"/>
    <col customWidth="1" min="23" max="40" width="2.13"/>
    <col customWidth="1" min="41" max="41" width="2.88"/>
    <col customWidth="1" min="42" max="43" width="2.13"/>
    <col customWidth="1" min="44" max="44" width="2.75"/>
    <col customWidth="1" min="45" max="50" width="2.13"/>
    <col customWidth="1" min="51" max="51" width="87.38"/>
    <col customWidth="1" min="52" max="52" width="3.75"/>
  </cols>
  <sheetData>
    <row r="1">
      <c r="A1" s="52">
        <v>0.0</v>
      </c>
      <c r="B1" s="52" t="s">
        <v>280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3"/>
      <c r="AZ1" s="54"/>
    </row>
    <row r="2">
      <c r="A2" s="53"/>
      <c r="B2" s="55"/>
      <c r="C2" s="56">
        <v>47.0</v>
      </c>
      <c r="D2" s="56">
        <v>46.0</v>
      </c>
      <c r="E2" s="56">
        <v>45.0</v>
      </c>
      <c r="F2" s="56">
        <v>44.0</v>
      </c>
      <c r="G2" s="56">
        <v>43.0</v>
      </c>
      <c r="H2" s="56">
        <v>42.0</v>
      </c>
      <c r="I2" s="56">
        <v>41.0</v>
      </c>
      <c r="J2" s="56">
        <v>40.0</v>
      </c>
      <c r="K2" s="57">
        <v>39.0</v>
      </c>
      <c r="L2" s="57">
        <v>38.0</v>
      </c>
      <c r="M2" s="57">
        <v>37.0</v>
      </c>
      <c r="N2" s="57">
        <v>36.0</v>
      </c>
      <c r="O2" s="57">
        <v>35.0</v>
      </c>
      <c r="P2" s="57">
        <v>34.0</v>
      </c>
      <c r="Q2" s="57">
        <v>33.0</v>
      </c>
      <c r="R2" s="57">
        <v>32.0</v>
      </c>
      <c r="S2" s="57">
        <v>31.0</v>
      </c>
      <c r="T2" s="57">
        <v>30.0</v>
      </c>
      <c r="U2" s="57">
        <v>29.0</v>
      </c>
      <c r="V2" s="57">
        <v>28.0</v>
      </c>
      <c r="W2" s="57">
        <v>27.0</v>
      </c>
      <c r="X2" s="57">
        <v>26.0</v>
      </c>
      <c r="Y2" s="57">
        <v>25.0</v>
      </c>
      <c r="Z2" s="57">
        <v>24.0</v>
      </c>
      <c r="AA2" s="57">
        <v>23.0</v>
      </c>
      <c r="AB2" s="57">
        <v>22.0</v>
      </c>
      <c r="AC2" s="57">
        <v>21.0</v>
      </c>
      <c r="AD2" s="57">
        <v>20.0</v>
      </c>
      <c r="AE2" s="57">
        <v>19.0</v>
      </c>
      <c r="AF2" s="57">
        <v>18.0</v>
      </c>
      <c r="AG2" s="57">
        <v>17.0</v>
      </c>
      <c r="AH2" s="57">
        <v>16.0</v>
      </c>
      <c r="AI2" s="57">
        <v>15.0</v>
      </c>
      <c r="AJ2" s="57">
        <v>14.0</v>
      </c>
      <c r="AK2" s="57">
        <v>13.0</v>
      </c>
      <c r="AL2" s="57">
        <v>12.0</v>
      </c>
      <c r="AM2" s="57">
        <v>11.0</v>
      </c>
      <c r="AN2" s="57">
        <v>10.0</v>
      </c>
      <c r="AO2" s="57">
        <v>9.0</v>
      </c>
      <c r="AP2" s="57">
        <v>8.0</v>
      </c>
      <c r="AQ2" s="57">
        <v>7.0</v>
      </c>
      <c r="AR2" s="57">
        <v>6.0</v>
      </c>
      <c r="AS2" s="57">
        <v>5.0</v>
      </c>
      <c r="AT2" s="57">
        <v>4.0</v>
      </c>
      <c r="AU2" s="57">
        <v>3.0</v>
      </c>
      <c r="AV2" s="57">
        <v>2.0</v>
      </c>
      <c r="AW2" s="57">
        <v>1.0</v>
      </c>
      <c r="AX2" s="57">
        <v>0.0</v>
      </c>
      <c r="AY2" s="58" t="s">
        <v>280</v>
      </c>
      <c r="AZ2" s="59"/>
    </row>
    <row r="3">
      <c r="A3" s="52"/>
      <c r="B3" s="60" t="s">
        <v>10</v>
      </c>
      <c r="C3" s="61"/>
      <c r="D3" s="61"/>
      <c r="E3" s="61"/>
      <c r="F3" s="61"/>
      <c r="G3" s="61"/>
      <c r="H3" s="61"/>
      <c r="I3" s="61"/>
      <c r="J3" s="61"/>
      <c r="K3" s="62" t="s">
        <v>281</v>
      </c>
      <c r="L3" s="63"/>
      <c r="M3" s="63"/>
      <c r="N3" s="63"/>
      <c r="O3" s="63"/>
      <c r="P3" s="63"/>
      <c r="Q3" s="63"/>
      <c r="R3" s="63"/>
      <c r="S3" s="64"/>
      <c r="T3" s="65" t="s">
        <v>282</v>
      </c>
      <c r="U3" s="63"/>
      <c r="V3" s="63"/>
      <c r="W3" s="63"/>
      <c r="X3" s="63"/>
      <c r="Y3" s="63"/>
      <c r="Z3" s="63"/>
      <c r="AA3" s="64"/>
      <c r="AB3" s="65" t="s">
        <v>283</v>
      </c>
      <c r="AC3" s="63"/>
      <c r="AD3" s="63"/>
      <c r="AE3" s="63"/>
      <c r="AF3" s="63"/>
      <c r="AG3" s="63"/>
      <c r="AH3" s="63"/>
      <c r="AI3" s="64"/>
      <c r="AJ3" s="65" t="s">
        <v>284</v>
      </c>
      <c r="AK3" s="63"/>
      <c r="AL3" s="63"/>
      <c r="AM3" s="63"/>
      <c r="AN3" s="63"/>
      <c r="AO3" s="63"/>
      <c r="AP3" s="63"/>
      <c r="AQ3" s="64"/>
      <c r="AR3" s="65" t="s">
        <v>285</v>
      </c>
      <c r="AS3" s="63"/>
      <c r="AT3" s="63"/>
      <c r="AU3" s="63"/>
      <c r="AV3" s="63"/>
      <c r="AW3" s="63"/>
      <c r="AX3" s="64"/>
      <c r="AY3" s="66"/>
      <c r="AZ3" s="54"/>
    </row>
    <row r="4">
      <c r="A4" s="52"/>
      <c r="B4" s="60" t="s">
        <v>95</v>
      </c>
      <c r="C4" s="61"/>
      <c r="D4" s="61"/>
      <c r="E4" s="61"/>
      <c r="F4" s="61"/>
      <c r="G4" s="61"/>
      <c r="H4" s="61"/>
      <c r="I4" s="61"/>
      <c r="J4" s="61"/>
      <c r="K4" s="65" t="s">
        <v>286</v>
      </c>
      <c r="L4" s="63"/>
      <c r="M4" s="63"/>
      <c r="N4" s="63"/>
      <c r="O4" s="63"/>
      <c r="P4" s="63"/>
      <c r="Q4" s="63"/>
      <c r="R4" s="63"/>
      <c r="S4" s="64"/>
      <c r="T4" s="65" t="s">
        <v>282</v>
      </c>
      <c r="U4" s="63"/>
      <c r="V4" s="63"/>
      <c r="W4" s="63"/>
      <c r="X4" s="63"/>
      <c r="Y4" s="63"/>
      <c r="Z4" s="63"/>
      <c r="AA4" s="64"/>
      <c r="AB4" s="65" t="s">
        <v>283</v>
      </c>
      <c r="AC4" s="63"/>
      <c r="AD4" s="63"/>
      <c r="AE4" s="63"/>
      <c r="AF4" s="63"/>
      <c r="AG4" s="63"/>
      <c r="AH4" s="63"/>
      <c r="AI4" s="64"/>
      <c r="AJ4" s="67" t="s">
        <v>287</v>
      </c>
      <c r="AK4" s="65" t="s">
        <v>288</v>
      </c>
      <c r="AL4" s="63"/>
      <c r="AM4" s="63"/>
      <c r="AN4" s="63"/>
      <c r="AO4" s="63"/>
      <c r="AP4" s="63"/>
      <c r="AQ4" s="64"/>
      <c r="AR4" s="65" t="s">
        <v>285</v>
      </c>
      <c r="AS4" s="63"/>
      <c r="AT4" s="63"/>
      <c r="AU4" s="63"/>
      <c r="AV4" s="63"/>
      <c r="AW4" s="63"/>
      <c r="AX4" s="64"/>
      <c r="AY4" s="68" t="s">
        <v>289</v>
      </c>
      <c r="AZ4" s="54"/>
    </row>
    <row r="5">
      <c r="A5" s="52"/>
      <c r="B5" s="60" t="s">
        <v>68</v>
      </c>
      <c r="C5" s="61"/>
      <c r="D5" s="61"/>
      <c r="E5" s="61"/>
      <c r="F5" s="61"/>
      <c r="G5" s="61"/>
      <c r="H5" s="61"/>
      <c r="I5" s="61"/>
      <c r="J5" s="61"/>
      <c r="K5" s="62" t="s">
        <v>290</v>
      </c>
      <c r="L5" s="63"/>
      <c r="M5" s="63"/>
      <c r="N5" s="63"/>
      <c r="O5" s="64"/>
      <c r="P5" s="65" t="s">
        <v>291</v>
      </c>
      <c r="Q5" s="63"/>
      <c r="R5" s="63"/>
      <c r="S5" s="63"/>
      <c r="T5" s="63"/>
      <c r="U5" s="63"/>
      <c r="V5" s="63"/>
      <c r="W5" s="63"/>
      <c r="X5" s="63"/>
      <c r="Y5" s="63"/>
      <c r="Z5" s="63"/>
      <c r="AA5" s="64"/>
      <c r="AB5" s="65" t="s">
        <v>283</v>
      </c>
      <c r="AC5" s="63"/>
      <c r="AD5" s="63"/>
      <c r="AE5" s="63"/>
      <c r="AF5" s="63"/>
      <c r="AG5" s="63"/>
      <c r="AH5" s="63"/>
      <c r="AI5" s="64"/>
      <c r="AJ5" s="65" t="s">
        <v>284</v>
      </c>
      <c r="AK5" s="63"/>
      <c r="AL5" s="63"/>
      <c r="AM5" s="63"/>
      <c r="AN5" s="63"/>
      <c r="AO5" s="63"/>
      <c r="AP5" s="63"/>
      <c r="AQ5" s="64"/>
      <c r="AR5" s="65" t="s">
        <v>285</v>
      </c>
      <c r="AS5" s="63"/>
      <c r="AT5" s="63"/>
      <c r="AU5" s="63"/>
      <c r="AV5" s="63"/>
      <c r="AW5" s="63"/>
      <c r="AX5" s="64"/>
      <c r="AY5" s="68" t="s">
        <v>292</v>
      </c>
      <c r="AZ5" s="54"/>
    </row>
    <row r="6">
      <c r="A6" s="52"/>
      <c r="B6" s="60" t="s">
        <v>114</v>
      </c>
      <c r="C6" s="61"/>
      <c r="D6" s="61"/>
      <c r="E6" s="61"/>
      <c r="F6" s="61"/>
      <c r="G6" s="61"/>
      <c r="H6" s="61"/>
      <c r="I6" s="61"/>
      <c r="J6" s="61"/>
      <c r="K6" s="62" t="s">
        <v>290</v>
      </c>
      <c r="L6" s="63"/>
      <c r="M6" s="63"/>
      <c r="N6" s="63"/>
      <c r="O6" s="64"/>
      <c r="P6" s="65" t="s">
        <v>291</v>
      </c>
      <c r="Q6" s="63"/>
      <c r="R6" s="63"/>
      <c r="S6" s="63"/>
      <c r="T6" s="63"/>
      <c r="U6" s="63"/>
      <c r="V6" s="63"/>
      <c r="W6" s="63"/>
      <c r="X6" s="63"/>
      <c r="Y6" s="63"/>
      <c r="Z6" s="63"/>
      <c r="AA6" s="64"/>
      <c r="AB6" s="65" t="s">
        <v>283</v>
      </c>
      <c r="AC6" s="63"/>
      <c r="AD6" s="63"/>
      <c r="AE6" s="63"/>
      <c r="AF6" s="63"/>
      <c r="AG6" s="63"/>
      <c r="AH6" s="63"/>
      <c r="AI6" s="64"/>
      <c r="AJ6" s="65" t="s">
        <v>284</v>
      </c>
      <c r="AK6" s="63"/>
      <c r="AL6" s="63"/>
      <c r="AM6" s="63"/>
      <c r="AN6" s="63"/>
      <c r="AO6" s="63"/>
      <c r="AP6" s="63"/>
      <c r="AQ6" s="64"/>
      <c r="AR6" s="65" t="s">
        <v>285</v>
      </c>
      <c r="AS6" s="63"/>
      <c r="AT6" s="63"/>
      <c r="AU6" s="63"/>
      <c r="AV6" s="63"/>
      <c r="AW6" s="63"/>
      <c r="AX6" s="64"/>
      <c r="AY6" s="69"/>
      <c r="AZ6" s="54"/>
    </row>
    <row r="7">
      <c r="A7" s="52"/>
      <c r="B7" s="60" t="s">
        <v>121</v>
      </c>
      <c r="C7" s="61"/>
      <c r="D7" s="61"/>
      <c r="E7" s="61"/>
      <c r="F7" s="61"/>
      <c r="G7" s="61"/>
      <c r="H7" s="61"/>
      <c r="I7" s="61"/>
      <c r="J7" s="61"/>
      <c r="K7" s="65" t="s">
        <v>293</v>
      </c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4"/>
      <c r="AJ7" s="65" t="s">
        <v>284</v>
      </c>
      <c r="AK7" s="63"/>
      <c r="AL7" s="63"/>
      <c r="AM7" s="63"/>
      <c r="AN7" s="63"/>
      <c r="AO7" s="63"/>
      <c r="AP7" s="63"/>
      <c r="AQ7" s="64"/>
      <c r="AR7" s="65" t="s">
        <v>285</v>
      </c>
      <c r="AS7" s="63"/>
      <c r="AT7" s="63"/>
      <c r="AU7" s="63"/>
      <c r="AV7" s="63"/>
      <c r="AW7" s="63"/>
      <c r="AX7" s="64"/>
      <c r="AY7" s="68" t="s">
        <v>294</v>
      </c>
      <c r="AZ7" s="54"/>
    </row>
    <row r="8">
      <c r="A8" s="52"/>
      <c r="B8" s="60" t="s">
        <v>135</v>
      </c>
      <c r="C8" s="61"/>
      <c r="D8" s="61"/>
      <c r="E8" s="61"/>
      <c r="F8" s="61"/>
      <c r="G8" s="61"/>
      <c r="H8" s="61"/>
      <c r="I8" s="61"/>
      <c r="J8" s="61"/>
      <c r="K8" s="62" t="s">
        <v>295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4"/>
      <c r="AR8" s="65" t="s">
        <v>285</v>
      </c>
      <c r="AS8" s="63"/>
      <c r="AT8" s="63"/>
      <c r="AU8" s="63"/>
      <c r="AV8" s="63"/>
      <c r="AW8" s="63"/>
      <c r="AX8" s="64"/>
      <c r="AY8" s="68" t="s">
        <v>296</v>
      </c>
      <c r="AZ8" s="54"/>
    </row>
    <row r="9">
      <c r="A9" s="70"/>
      <c r="B9" s="71" t="s">
        <v>144</v>
      </c>
      <c r="C9" s="61"/>
      <c r="D9" s="61"/>
      <c r="E9" s="61"/>
      <c r="F9" s="61"/>
      <c r="G9" s="61"/>
      <c r="H9" s="61"/>
      <c r="I9" s="61"/>
      <c r="J9" s="61"/>
      <c r="K9" s="62" t="s">
        <v>297</v>
      </c>
      <c r="L9" s="63"/>
      <c r="M9" s="63"/>
      <c r="N9" s="64"/>
      <c r="O9" s="72" t="s">
        <v>298</v>
      </c>
      <c r="P9" s="65" t="s">
        <v>299</v>
      </c>
      <c r="Q9" s="63"/>
      <c r="R9" s="63"/>
      <c r="S9" s="64"/>
      <c r="T9" s="65" t="s">
        <v>300</v>
      </c>
      <c r="U9" s="63"/>
      <c r="V9" s="63"/>
      <c r="W9" s="63"/>
      <c r="X9" s="63"/>
      <c r="Y9" s="63"/>
      <c r="Z9" s="63"/>
      <c r="AA9" s="64"/>
      <c r="AB9" s="65" t="s">
        <v>301</v>
      </c>
      <c r="AC9" s="63"/>
      <c r="AD9" s="63"/>
      <c r="AE9" s="63"/>
      <c r="AF9" s="63"/>
      <c r="AG9" s="63"/>
      <c r="AH9" s="63"/>
      <c r="AI9" s="64"/>
      <c r="AJ9" s="65" t="s">
        <v>302</v>
      </c>
      <c r="AK9" s="63"/>
      <c r="AL9" s="63"/>
      <c r="AM9" s="63"/>
      <c r="AN9" s="63"/>
      <c r="AO9" s="63"/>
      <c r="AP9" s="63"/>
      <c r="AQ9" s="64"/>
      <c r="AR9" s="65" t="s">
        <v>285</v>
      </c>
      <c r="AS9" s="63"/>
      <c r="AT9" s="63"/>
      <c r="AU9" s="63"/>
      <c r="AV9" s="63"/>
      <c r="AW9" s="63"/>
      <c r="AX9" s="64"/>
      <c r="AY9" s="68" t="s">
        <v>303</v>
      </c>
      <c r="AZ9" s="54"/>
    </row>
    <row r="10">
      <c r="A10" s="52"/>
      <c r="B10" s="60" t="s">
        <v>223</v>
      </c>
      <c r="C10" s="61"/>
      <c r="D10" s="61"/>
      <c r="E10" s="61"/>
      <c r="F10" s="61"/>
      <c r="G10" s="61"/>
      <c r="H10" s="61"/>
      <c r="I10" s="61"/>
      <c r="J10" s="61"/>
      <c r="K10" s="62" t="s">
        <v>290</v>
      </c>
      <c r="L10" s="63"/>
      <c r="M10" s="63"/>
      <c r="N10" s="63"/>
      <c r="O10" s="64"/>
      <c r="P10" s="65" t="s">
        <v>299</v>
      </c>
      <c r="Q10" s="63"/>
      <c r="R10" s="63"/>
      <c r="S10" s="64"/>
      <c r="T10" s="65" t="s">
        <v>283</v>
      </c>
      <c r="U10" s="63"/>
      <c r="V10" s="63"/>
      <c r="W10" s="63"/>
      <c r="X10" s="63"/>
      <c r="Y10" s="63"/>
      <c r="Z10" s="63"/>
      <c r="AA10" s="64"/>
      <c r="AB10" s="65" t="s">
        <v>301</v>
      </c>
      <c r="AC10" s="63"/>
      <c r="AD10" s="63"/>
      <c r="AE10" s="63"/>
      <c r="AF10" s="63"/>
      <c r="AG10" s="63"/>
      <c r="AH10" s="63"/>
      <c r="AI10" s="64"/>
      <c r="AJ10" s="65" t="s">
        <v>302</v>
      </c>
      <c r="AK10" s="63"/>
      <c r="AL10" s="63"/>
      <c r="AM10" s="63"/>
      <c r="AN10" s="63"/>
      <c r="AO10" s="63"/>
      <c r="AP10" s="63"/>
      <c r="AQ10" s="64"/>
      <c r="AR10" s="65" t="s">
        <v>285</v>
      </c>
      <c r="AS10" s="63"/>
      <c r="AT10" s="63"/>
      <c r="AU10" s="63"/>
      <c r="AV10" s="63"/>
      <c r="AW10" s="63"/>
      <c r="AX10" s="64"/>
      <c r="AY10" s="68" t="s">
        <v>304</v>
      </c>
      <c r="AZ10" s="54"/>
    </row>
    <row r="11">
      <c r="A11" s="52"/>
      <c r="B11" s="60" t="s">
        <v>181</v>
      </c>
      <c r="C11" s="61"/>
      <c r="D11" s="61"/>
      <c r="E11" s="61"/>
      <c r="F11" s="61"/>
      <c r="G11" s="61"/>
      <c r="H11" s="61"/>
      <c r="I11" s="61"/>
      <c r="J11" s="61"/>
      <c r="K11" s="65" t="s">
        <v>305</v>
      </c>
      <c r="L11" s="63"/>
      <c r="M11" s="63"/>
      <c r="N11" s="63"/>
      <c r="O11" s="64"/>
      <c r="P11" s="65" t="s">
        <v>299</v>
      </c>
      <c r="Q11" s="63"/>
      <c r="R11" s="63"/>
      <c r="S11" s="64"/>
      <c r="T11" s="65" t="s">
        <v>306</v>
      </c>
      <c r="U11" s="63"/>
      <c r="V11" s="63"/>
      <c r="W11" s="63"/>
      <c r="X11" s="63"/>
      <c r="Y11" s="63"/>
      <c r="Z11" s="63"/>
      <c r="AA11" s="64"/>
      <c r="AB11" s="65" t="s">
        <v>301</v>
      </c>
      <c r="AC11" s="63"/>
      <c r="AD11" s="63"/>
      <c r="AE11" s="63"/>
      <c r="AF11" s="63"/>
      <c r="AG11" s="63"/>
      <c r="AH11" s="63"/>
      <c r="AI11" s="64"/>
      <c r="AJ11" s="65" t="s">
        <v>302</v>
      </c>
      <c r="AK11" s="63"/>
      <c r="AL11" s="63"/>
      <c r="AM11" s="63"/>
      <c r="AN11" s="63"/>
      <c r="AO11" s="63"/>
      <c r="AP11" s="63"/>
      <c r="AQ11" s="64"/>
      <c r="AR11" s="65" t="s">
        <v>285</v>
      </c>
      <c r="AS11" s="63"/>
      <c r="AT11" s="63"/>
      <c r="AU11" s="63"/>
      <c r="AV11" s="63"/>
      <c r="AW11" s="63"/>
      <c r="AX11" s="64"/>
      <c r="AY11" s="68" t="s">
        <v>307</v>
      </c>
      <c r="AZ11" s="54"/>
    </row>
    <row r="12">
      <c r="A12" s="52"/>
      <c r="B12" s="60" t="s">
        <v>236</v>
      </c>
      <c r="C12" s="61"/>
      <c r="D12" s="61"/>
      <c r="E12" s="61"/>
      <c r="F12" s="61"/>
      <c r="G12" s="61"/>
      <c r="H12" s="61"/>
      <c r="I12" s="61"/>
      <c r="J12" s="61"/>
      <c r="K12" s="65" t="s">
        <v>308</v>
      </c>
      <c r="L12" s="63"/>
      <c r="M12" s="63"/>
      <c r="N12" s="63"/>
      <c r="O12" s="64"/>
      <c r="P12" s="72" t="s">
        <v>309</v>
      </c>
      <c r="Q12" s="73" t="s">
        <v>310</v>
      </c>
      <c r="R12" s="65" t="s">
        <v>311</v>
      </c>
      <c r="S12" s="63"/>
      <c r="T12" s="63"/>
      <c r="U12" s="63"/>
      <c r="V12" s="64"/>
      <c r="W12" s="74" t="s">
        <v>312</v>
      </c>
      <c r="X12" s="63"/>
      <c r="Y12" s="63"/>
      <c r="Z12" s="63"/>
      <c r="AA12" s="64"/>
      <c r="AB12" s="65" t="s">
        <v>283</v>
      </c>
      <c r="AC12" s="63"/>
      <c r="AD12" s="63"/>
      <c r="AE12" s="63"/>
      <c r="AF12" s="63"/>
      <c r="AG12" s="63"/>
      <c r="AH12" s="63"/>
      <c r="AI12" s="64"/>
      <c r="AJ12" s="65" t="s">
        <v>302</v>
      </c>
      <c r="AK12" s="63"/>
      <c r="AL12" s="63"/>
      <c r="AM12" s="63"/>
      <c r="AN12" s="63"/>
      <c r="AO12" s="63"/>
      <c r="AP12" s="63"/>
      <c r="AQ12" s="64"/>
      <c r="AR12" s="65" t="s">
        <v>285</v>
      </c>
      <c r="AS12" s="63"/>
      <c r="AT12" s="63"/>
      <c r="AU12" s="63"/>
      <c r="AV12" s="63"/>
      <c r="AW12" s="63"/>
      <c r="AX12" s="64"/>
      <c r="AY12" s="68" t="s">
        <v>313</v>
      </c>
      <c r="AZ12" s="54"/>
    </row>
    <row r="13">
      <c r="A13" s="52"/>
      <c r="B13" s="60" t="s">
        <v>274</v>
      </c>
      <c r="C13" s="61"/>
      <c r="D13" s="61"/>
      <c r="E13" s="61"/>
      <c r="F13" s="61"/>
      <c r="G13" s="61"/>
      <c r="H13" s="61"/>
      <c r="I13" s="61"/>
      <c r="J13" s="61"/>
      <c r="K13" s="62" t="s">
        <v>314</v>
      </c>
      <c r="L13" s="63"/>
      <c r="M13" s="63"/>
      <c r="N13" s="63"/>
      <c r="O13" s="63"/>
      <c r="P13" s="64"/>
      <c r="Q13" s="72" t="s">
        <v>310</v>
      </c>
      <c r="R13" s="65" t="s">
        <v>311</v>
      </c>
      <c r="S13" s="63"/>
      <c r="T13" s="63"/>
      <c r="U13" s="63"/>
      <c r="V13" s="64"/>
      <c r="W13" s="74" t="s">
        <v>312</v>
      </c>
      <c r="X13" s="63"/>
      <c r="Y13" s="63"/>
      <c r="Z13" s="63"/>
      <c r="AA13" s="64"/>
      <c r="AB13" s="65" t="s">
        <v>282</v>
      </c>
      <c r="AC13" s="63"/>
      <c r="AD13" s="63"/>
      <c r="AE13" s="63"/>
      <c r="AF13" s="63"/>
      <c r="AG13" s="63"/>
      <c r="AH13" s="63"/>
      <c r="AI13" s="64"/>
      <c r="AJ13" s="65" t="s">
        <v>315</v>
      </c>
      <c r="AK13" s="63"/>
      <c r="AL13" s="63"/>
      <c r="AM13" s="63"/>
      <c r="AN13" s="63"/>
      <c r="AO13" s="63"/>
      <c r="AP13" s="63"/>
      <c r="AQ13" s="64"/>
      <c r="AR13" s="65" t="s">
        <v>285</v>
      </c>
      <c r="AS13" s="63"/>
      <c r="AT13" s="63"/>
      <c r="AU13" s="63"/>
      <c r="AV13" s="63"/>
      <c r="AW13" s="63"/>
      <c r="AX13" s="64"/>
      <c r="AY13" s="68" t="s">
        <v>316</v>
      </c>
      <c r="AZ13" s="54"/>
    </row>
    <row r="14">
      <c r="A14" s="75"/>
      <c r="B14" s="60" t="s">
        <v>228</v>
      </c>
      <c r="C14" s="61"/>
      <c r="D14" s="61"/>
      <c r="E14" s="61"/>
      <c r="F14" s="61"/>
      <c r="G14" s="61"/>
      <c r="H14" s="61"/>
      <c r="I14" s="61"/>
      <c r="J14" s="61"/>
      <c r="K14" s="62" t="s">
        <v>317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  <c r="AB14" s="65" t="s">
        <v>318</v>
      </c>
      <c r="AC14" s="63"/>
      <c r="AD14" s="63"/>
      <c r="AE14" s="63"/>
      <c r="AF14" s="63"/>
      <c r="AG14" s="63"/>
      <c r="AH14" s="63"/>
      <c r="AI14" s="64"/>
      <c r="AJ14" s="65" t="s">
        <v>284</v>
      </c>
      <c r="AK14" s="63"/>
      <c r="AL14" s="63"/>
      <c r="AM14" s="63"/>
      <c r="AN14" s="63"/>
      <c r="AO14" s="63"/>
      <c r="AP14" s="63"/>
      <c r="AQ14" s="64"/>
      <c r="AR14" s="65" t="s">
        <v>285</v>
      </c>
      <c r="AS14" s="63"/>
      <c r="AT14" s="63"/>
      <c r="AU14" s="63"/>
      <c r="AV14" s="63"/>
      <c r="AW14" s="63"/>
      <c r="AX14" s="64"/>
      <c r="AY14" s="68" t="s">
        <v>319</v>
      </c>
      <c r="AZ14" s="54"/>
    </row>
    <row r="15">
      <c r="A15" s="5"/>
      <c r="B15" s="60" t="s">
        <v>232</v>
      </c>
      <c r="C15" s="61"/>
      <c r="D15" s="61"/>
      <c r="E15" s="61"/>
      <c r="F15" s="61"/>
      <c r="G15" s="61"/>
      <c r="H15" s="61"/>
      <c r="I15" s="61"/>
      <c r="J15" s="61"/>
      <c r="K15" s="62" t="s">
        <v>317</v>
      </c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  <c r="AB15" s="65" t="s">
        <v>283</v>
      </c>
      <c r="AC15" s="63"/>
      <c r="AD15" s="63"/>
      <c r="AE15" s="63"/>
      <c r="AF15" s="63"/>
      <c r="AG15" s="63"/>
      <c r="AH15" s="63"/>
      <c r="AI15" s="64"/>
      <c r="AJ15" s="65" t="s">
        <v>320</v>
      </c>
      <c r="AK15" s="63"/>
      <c r="AL15" s="63"/>
      <c r="AM15" s="63"/>
      <c r="AN15" s="63"/>
      <c r="AO15" s="63"/>
      <c r="AP15" s="63"/>
      <c r="AQ15" s="64"/>
      <c r="AR15" s="65" t="s">
        <v>285</v>
      </c>
      <c r="AS15" s="63"/>
      <c r="AT15" s="63"/>
      <c r="AU15" s="63"/>
      <c r="AV15" s="63"/>
      <c r="AW15" s="63"/>
      <c r="AX15" s="64"/>
      <c r="AY15" s="68" t="s">
        <v>321</v>
      </c>
      <c r="AZ15" s="54"/>
    </row>
    <row r="16">
      <c r="A16" s="5"/>
      <c r="AY16" s="5"/>
      <c r="AZ16" s="54"/>
    </row>
    <row r="17">
      <c r="A17" s="75"/>
      <c r="AY17" s="54"/>
      <c r="AZ17" s="54"/>
    </row>
    <row r="18">
      <c r="A18" s="53"/>
      <c r="AZ18" s="54"/>
    </row>
    <row r="19">
      <c r="A19" s="53"/>
      <c r="AY19" s="54"/>
      <c r="AZ19" s="54"/>
    </row>
    <row r="20">
      <c r="A20" s="53"/>
      <c r="AY20" s="54"/>
      <c r="AZ20" s="54"/>
    </row>
    <row r="21">
      <c r="A21" s="53"/>
      <c r="AY21" s="54"/>
      <c r="AZ21" s="54"/>
    </row>
    <row r="22">
      <c r="A22" s="53"/>
      <c r="AY22" s="54"/>
      <c r="AZ22" s="54"/>
    </row>
    <row r="23">
      <c r="A23" s="53"/>
      <c r="AY23" s="54"/>
      <c r="AZ23" s="54"/>
    </row>
    <row r="24">
      <c r="A24" s="53"/>
      <c r="AY24" s="54"/>
      <c r="AZ24" s="54"/>
    </row>
    <row r="25">
      <c r="A25" s="53"/>
      <c r="AY25" s="54"/>
      <c r="AZ25" s="54"/>
    </row>
    <row r="26">
      <c r="A26" s="53"/>
      <c r="AY26" s="54"/>
      <c r="AZ26" s="54"/>
    </row>
    <row r="27">
      <c r="A27" s="53"/>
      <c r="AY27" s="54"/>
      <c r="AZ27" s="54"/>
    </row>
    <row r="28">
      <c r="A28" s="53"/>
      <c r="AY28" s="54"/>
      <c r="AZ28" s="54"/>
    </row>
    <row r="29">
      <c r="A29" s="53"/>
      <c r="AY29" s="54"/>
      <c r="AZ29" s="54"/>
    </row>
    <row r="30">
      <c r="A30" s="53"/>
      <c r="AY30" s="54"/>
      <c r="AZ30" s="54"/>
    </row>
    <row r="31">
      <c r="A31" s="53"/>
      <c r="AY31" s="54"/>
      <c r="AZ31" s="54"/>
    </row>
    <row r="32">
      <c r="A32" s="53"/>
      <c r="AY32" s="54"/>
      <c r="AZ32" s="54"/>
    </row>
    <row r="33">
      <c r="A33" s="53"/>
      <c r="AY33" s="54"/>
      <c r="AZ33" s="54"/>
    </row>
    <row r="34">
      <c r="A34" s="53"/>
      <c r="AY34" s="54"/>
      <c r="AZ34" s="54"/>
    </row>
    <row r="35">
      <c r="A35" s="53"/>
      <c r="AY35" s="54"/>
      <c r="AZ35" s="54"/>
    </row>
    <row r="36">
      <c r="A36" s="53"/>
      <c r="AY36" s="54"/>
      <c r="AZ36" s="54"/>
    </row>
    <row r="37">
      <c r="A37" s="53"/>
      <c r="AY37" s="54"/>
      <c r="AZ37" s="54"/>
    </row>
    <row r="38">
      <c r="A38" s="53"/>
      <c r="AY38" s="54"/>
      <c r="AZ38" s="54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</row>
  </sheetData>
  <mergeCells count="63">
    <mergeCell ref="AB11:AI11"/>
    <mergeCell ref="AJ11:AQ11"/>
    <mergeCell ref="K10:O10"/>
    <mergeCell ref="P10:S10"/>
    <mergeCell ref="T10:AA10"/>
    <mergeCell ref="AB10:AI10"/>
    <mergeCell ref="AJ10:AQ10"/>
    <mergeCell ref="AR10:AX10"/>
    <mergeCell ref="K11:O11"/>
    <mergeCell ref="AR11:AX11"/>
    <mergeCell ref="P11:S11"/>
    <mergeCell ref="T11:AA11"/>
    <mergeCell ref="R12:V12"/>
    <mergeCell ref="W12:AA12"/>
    <mergeCell ref="AB12:AI12"/>
    <mergeCell ref="AJ12:AQ12"/>
    <mergeCell ref="AR12:AX12"/>
    <mergeCell ref="K12:O12"/>
    <mergeCell ref="K13:P13"/>
    <mergeCell ref="R13:V13"/>
    <mergeCell ref="W13:AA13"/>
    <mergeCell ref="AB13:AI13"/>
    <mergeCell ref="AJ13:AQ13"/>
    <mergeCell ref="AR13:AX13"/>
    <mergeCell ref="AB4:AI4"/>
    <mergeCell ref="AK4:AQ4"/>
    <mergeCell ref="K3:S3"/>
    <mergeCell ref="T3:AA3"/>
    <mergeCell ref="AB3:AI3"/>
    <mergeCell ref="AJ3:AQ3"/>
    <mergeCell ref="AR3:AX3"/>
    <mergeCell ref="T4:AA4"/>
    <mergeCell ref="AR4:AX4"/>
    <mergeCell ref="AJ6:AQ6"/>
    <mergeCell ref="AR6:AX6"/>
    <mergeCell ref="AJ7:AQ7"/>
    <mergeCell ref="AR7:AX7"/>
    <mergeCell ref="AR8:AX8"/>
    <mergeCell ref="K4:S4"/>
    <mergeCell ref="K5:O5"/>
    <mergeCell ref="P5:AA5"/>
    <mergeCell ref="AB5:AI5"/>
    <mergeCell ref="AJ5:AQ5"/>
    <mergeCell ref="AR5:AX5"/>
    <mergeCell ref="K6:O6"/>
    <mergeCell ref="AB9:AI9"/>
    <mergeCell ref="AJ9:AQ9"/>
    <mergeCell ref="AR9:AX9"/>
    <mergeCell ref="P6:AA6"/>
    <mergeCell ref="AB6:AI6"/>
    <mergeCell ref="K7:AI7"/>
    <mergeCell ref="K8:AQ8"/>
    <mergeCell ref="K9:N9"/>
    <mergeCell ref="P9:S9"/>
    <mergeCell ref="T9:AA9"/>
    <mergeCell ref="K14:AA14"/>
    <mergeCell ref="AB14:AI14"/>
    <mergeCell ref="AJ14:AQ14"/>
    <mergeCell ref="AR14:AX14"/>
    <mergeCell ref="K15:AA15"/>
    <mergeCell ref="AB15:AI15"/>
    <mergeCell ref="AJ15:AQ15"/>
    <mergeCell ref="AR15:AX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63"/>
    <col customWidth="1" min="4" max="4" width="32.38"/>
    <col customWidth="1" min="5" max="5" width="33.38"/>
  </cols>
  <sheetData>
    <row r="1" ht="22.5" customHeight="1">
      <c r="A1" s="1" t="s">
        <v>322</v>
      </c>
      <c r="B1" s="1" t="s">
        <v>2</v>
      </c>
      <c r="C1" s="1" t="s">
        <v>3</v>
      </c>
      <c r="D1" s="1" t="s">
        <v>323</v>
      </c>
      <c r="E1" s="3" t="s">
        <v>6</v>
      </c>
    </row>
    <row r="2" ht="22.5" customHeight="1">
      <c r="A2" s="6" t="s">
        <v>324</v>
      </c>
      <c r="B2" s="6"/>
      <c r="C2" s="76"/>
      <c r="D2" s="77"/>
      <c r="E2" s="12"/>
    </row>
    <row r="3" ht="22.5" customHeight="1">
      <c r="A3" s="6" t="s">
        <v>325</v>
      </c>
      <c r="B3" s="6" t="s">
        <v>326</v>
      </c>
      <c r="C3" s="8" t="s">
        <v>10</v>
      </c>
      <c r="D3" s="78" t="s">
        <v>327</v>
      </c>
      <c r="E3" s="10" t="s">
        <v>328</v>
      </c>
    </row>
    <row r="4" ht="22.5" customHeight="1">
      <c r="A4" s="45" t="s">
        <v>329</v>
      </c>
      <c r="B4" s="79" t="str">
        <f>DEC2BIN(F4,7)</f>
        <v>1001010</v>
      </c>
      <c r="C4" s="80" t="s">
        <v>330</v>
      </c>
      <c r="D4" s="29" t="s">
        <v>181</v>
      </c>
      <c r="E4" s="42" t="s">
        <v>331</v>
      </c>
      <c r="F4" s="81">
        <v>74.0</v>
      </c>
      <c r="G4" s="82" t="s">
        <v>332</v>
      </c>
      <c r="H4" s="83"/>
    </row>
  </sheetData>
  <dataValidations>
    <dataValidation type="list" allowBlank="1" sqref="D4">
      <formula1>'Bit-Spec'!$B$3:$B$15</formula1>
    </dataValidation>
    <dataValidation type="list" allowBlank="1" sqref="C2:C4">
      <formula1>#REF!</formula1>
    </dataValidation>
  </dataValidations>
  <hyperlinks>
    <hyperlink r:id="rId1" ref="D3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0"/>
    <col customWidth="1" min="6" max="6" width="29.63"/>
  </cols>
  <sheetData>
    <row r="2">
      <c r="A2" s="84" t="s">
        <v>333</v>
      </c>
      <c r="B2" s="84" t="s">
        <v>334</v>
      </c>
      <c r="C2" s="85"/>
      <c r="D2" s="85"/>
      <c r="F2" s="86" t="s">
        <v>335</v>
      </c>
      <c r="G2" s="87" t="s">
        <v>336</v>
      </c>
    </row>
    <row r="3">
      <c r="A3" s="88"/>
      <c r="B3" s="85"/>
      <c r="C3" s="84" t="s">
        <v>337</v>
      </c>
      <c r="D3" s="84" t="s">
        <v>338</v>
      </c>
      <c r="F3" s="89"/>
      <c r="G3" s="86">
        <v>3.0</v>
      </c>
    </row>
    <row r="4">
      <c r="A4" s="90"/>
      <c r="B4" s="84" t="s">
        <v>339</v>
      </c>
      <c r="C4" s="84" t="s">
        <v>340</v>
      </c>
      <c r="D4" s="84" t="s">
        <v>341</v>
      </c>
      <c r="F4" s="89"/>
      <c r="G4" s="86">
        <v>2.0</v>
      </c>
    </row>
    <row r="5">
      <c r="A5" s="90"/>
      <c r="B5" s="91" t="s">
        <v>342</v>
      </c>
      <c r="C5" s="63"/>
      <c r="D5" s="64"/>
      <c r="F5" s="89"/>
      <c r="G5" s="86">
        <v>1.0</v>
      </c>
    </row>
    <row r="6">
      <c r="A6" s="90"/>
      <c r="B6" s="84" t="s">
        <v>343</v>
      </c>
      <c r="C6" s="84">
        <v>0.0</v>
      </c>
      <c r="D6" s="84">
        <v>0.0</v>
      </c>
    </row>
    <row r="7">
      <c r="A7" s="90"/>
      <c r="B7" s="84" t="s">
        <v>344</v>
      </c>
      <c r="C7" s="84">
        <v>1.0</v>
      </c>
      <c r="D7" s="84">
        <v>8.0</v>
      </c>
    </row>
    <row r="8">
      <c r="A8" s="90"/>
      <c r="B8" s="84" t="s">
        <v>345</v>
      </c>
      <c r="C8" s="84">
        <v>64.0</v>
      </c>
      <c r="D8" s="84">
        <v>106.0</v>
      </c>
    </row>
    <row r="9">
      <c r="A9" s="90"/>
      <c r="B9" s="92" t="s">
        <v>346</v>
      </c>
      <c r="C9" s="63"/>
      <c r="D9" s="64"/>
    </row>
    <row r="10">
      <c r="A10" s="90"/>
      <c r="B10" s="84" t="s">
        <v>347</v>
      </c>
      <c r="C10" s="84">
        <v>0.0</v>
      </c>
      <c r="D10" s="84">
        <v>0.0</v>
      </c>
    </row>
    <row r="11">
      <c r="A11" s="90"/>
      <c r="B11" s="91" t="s">
        <v>348</v>
      </c>
      <c r="C11" s="63"/>
      <c r="D11" s="64"/>
    </row>
    <row r="12">
      <c r="A12" s="90"/>
      <c r="B12" s="84" t="s">
        <v>349</v>
      </c>
      <c r="C12" s="84">
        <v>2.0</v>
      </c>
      <c r="D12" s="85"/>
    </row>
    <row r="13">
      <c r="A13" s="90"/>
      <c r="B13" s="84" t="s">
        <v>350</v>
      </c>
      <c r="C13" s="85"/>
      <c r="D13" s="85"/>
    </row>
    <row r="14">
      <c r="A14" s="90"/>
      <c r="B14" s="84" t="s">
        <v>351</v>
      </c>
      <c r="C14" s="93">
        <v>45660.0</v>
      </c>
      <c r="D14" s="85"/>
    </row>
    <row r="15">
      <c r="A15" s="90"/>
      <c r="B15" s="84" t="s">
        <v>352</v>
      </c>
      <c r="C15" s="85"/>
      <c r="D15" s="84" t="s">
        <v>353</v>
      </c>
    </row>
    <row r="16">
      <c r="A16" s="90"/>
      <c r="B16" s="84" t="s">
        <v>354</v>
      </c>
      <c r="C16" s="84">
        <v>15.0</v>
      </c>
      <c r="D16" s="84">
        <v>15.0</v>
      </c>
    </row>
    <row r="17">
      <c r="A17" s="90"/>
      <c r="B17" s="84" t="s">
        <v>355</v>
      </c>
      <c r="C17" s="84">
        <f>3*G3+2+1</f>
        <v>12</v>
      </c>
      <c r="D17" s="85"/>
      <c r="E17" s="94" t="s">
        <v>356</v>
      </c>
    </row>
    <row r="18">
      <c r="A18" s="90"/>
      <c r="B18" s="91" t="s">
        <v>357</v>
      </c>
      <c r="C18" s="63"/>
      <c r="D18" s="64"/>
    </row>
    <row r="19">
      <c r="A19" s="90"/>
      <c r="B19" s="95" t="s">
        <v>358</v>
      </c>
      <c r="C19" s="63"/>
      <c r="D19" s="64"/>
    </row>
    <row r="20" ht="30.75" customHeight="1">
      <c r="A20" s="90"/>
      <c r="B20" s="84" t="s">
        <v>359</v>
      </c>
      <c r="C20" s="84">
        <v>13.0</v>
      </c>
      <c r="D20" s="84">
        <v>13.0</v>
      </c>
    </row>
    <row r="21">
      <c r="A21" s="90"/>
      <c r="B21" s="84" t="s">
        <v>360</v>
      </c>
      <c r="C21" s="84" t="s">
        <v>361</v>
      </c>
      <c r="D21" s="96" t="s">
        <v>361</v>
      </c>
    </row>
    <row r="22">
      <c r="A22" s="90"/>
      <c r="B22" s="91" t="s">
        <v>362</v>
      </c>
      <c r="C22" s="63"/>
      <c r="D22" s="64"/>
    </row>
    <row r="23">
      <c r="A23" s="97"/>
      <c r="B23" s="84" t="s">
        <v>363</v>
      </c>
      <c r="C23" s="85"/>
      <c r="D23" s="85"/>
    </row>
  </sheetData>
  <mergeCells count="7">
    <mergeCell ref="A3:A23"/>
    <mergeCell ref="B5:D5"/>
    <mergeCell ref="B9:D9"/>
    <mergeCell ref="B11:D11"/>
    <mergeCell ref="B18:D18"/>
    <mergeCell ref="B19:D19"/>
    <mergeCell ref="B22:D22"/>
  </mergeCells>
  <drawing r:id="rId4"/>
  <legacyDrawing r:id="rId5"/>
</worksheet>
</file>